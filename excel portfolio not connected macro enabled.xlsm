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C:\Users\sushd\Desktop\data analytics course\project works\"/>
    </mc:Choice>
  </mc:AlternateContent>
  <xr:revisionPtr revIDLastSave="0" documentId="8_{53384D54-D6D4-4DAA-912A-711584F67B21}" xr6:coauthVersionLast="47" xr6:coauthVersionMax="47" xr10:uidLastSave="{00000000-0000-0000-0000-000000000000}"/>
  <bookViews>
    <workbookView xWindow="25605" yWindow="0" windowWidth="32100" windowHeight="15585" activeTab="2" xr2:uid="{00000000-000D-0000-FFFF-FFFF00000000}"/>
  </bookViews>
  <sheets>
    <sheet name="Dashboard" sheetId="3" r:id="rId1"/>
    <sheet name="Current Holdings" sheetId="7" r:id="rId2"/>
    <sheet name="Dashboard By Date" sheetId="4" r:id="rId3"/>
    <sheet name="Transactions" sheetId="1" r:id="rId4"/>
    <sheet name="Calculations" sheetId="2" r:id="rId5"/>
    <sheet name="test dashboard" sheetId="8" r:id="rId6"/>
    <sheet name="calculations for DCA" sheetId="6" r:id="rId7"/>
    <sheet name="Pivots for dashboard2" sheetId="5" r:id="rId8"/>
  </sheets>
  <definedNames>
    <definedName name="dyn_buy">OFFSET(Calculations!$AR$1,1,,Calculations!$AW$4)</definedName>
    <definedName name="dyn_sales">OFFSET(Calculations!$AS$1,1,,Calculations!$AW$4)</definedName>
    <definedName name="dyn_ticker">OFFSET(Calculations!$AP$1,1,,Calculations!$AW$4)</definedName>
    <definedName name="OrderDate">OFFSET(Calculations!$AD$1,1,,COUNT(Calculations!$AB:$AB))</definedName>
    <definedName name="Profit_Loss">OFFSET(Calculations!$AT$1,1,,Calculations!$AW$4)</definedName>
    <definedName name="Profit_Loss_Range">OFFSET(Calculations!$A$1,1,,COUNTA(_xlfn.ANCHORARRAY(Calculations!$A$2)),13)</definedName>
    <definedName name="Slicer_Order_Date">#N/A</definedName>
    <definedName name="Slicer_Years">#N/A</definedName>
    <definedName name="Stock">OFFSET(Calculations!$AC$1,1,,COUNT(Calculations!$AB:$AB))</definedName>
    <definedName name="ttl_invest">OFFSET(Calculations!$BF$1,1,,Calculations!$AW$4)</definedName>
    <definedName name="ttl_networth">OFFSET(Calculations!$BG$1,1,,Calculations!$AW$4)</definedName>
    <definedName name="uniq_stock">Calculations!$A$2:$A$34</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X24" i="2" l="1"/>
  <c r="H2" i="1" l="1"/>
  <c r="N14" i="3"/>
  <c r="N9" i="3"/>
  <c r="AC2" i="2" l="1" a="1"/>
  <c r="AC2" i="2" s="1"/>
  <c r="AB2" i="2" s="1" a="1"/>
  <c r="AB2" i="2" s="1"/>
  <c r="AJ2" i="2" s="1" a="1"/>
  <c r="AJ2" i="2" s="1"/>
  <c r="H144"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A2" i="2" a="1"/>
  <c r="A2" i="2" s="1"/>
  <c r="CG2" i="2" l="1" a="1"/>
  <c r="CG2" i="2" s="1"/>
  <c r="Z2" i="2" a="1"/>
  <c r="Z2" i="2" s="1"/>
  <c r="AE2" i="2" a="1"/>
  <c r="AE2" i="2" s="1"/>
  <c r="AI2" i="2" s="1" a="1"/>
  <c r="AI2" i="2" s="1"/>
  <c r="AF2" i="2" a="1"/>
  <c r="AF2" i="2" s="1"/>
  <c r="AH2" i="2" a="1"/>
  <c r="AH2" i="2" s="1"/>
  <c r="C2" i="2" a="1"/>
  <c r="C2" i="2" s="1"/>
  <c r="O2" i="2" s="1" a="1"/>
  <c r="O2" i="2" s="1"/>
  <c r="B2" i="2" a="1"/>
  <c r="B2" i="2" s="1"/>
  <c r="F2" i="2" s="1" a="1"/>
  <c r="F2" i="2" s="1"/>
  <c r="D2" i="2" a="1"/>
  <c r="D2" i="2" s="1"/>
  <c r="P2" i="2" a="1"/>
  <c r="P2" i="2" s="1"/>
  <c r="AG2" i="2" l="1" a="1"/>
  <c r="AG2" i="2" s="1"/>
  <c r="H2" i="2" a="1"/>
  <c r="H2" i="2" s="1"/>
  <c r="H37" i="2" s="1"/>
  <c r="J5" i="7" s="1"/>
  <c r="AK2" i="2" a="1"/>
  <c r="AK2" i="2" s="1"/>
  <c r="E2" i="2" a="1"/>
  <c r="E2" i="2" s="1"/>
  <c r="N2" i="2" a="1"/>
  <c r="N2" i="2" s="1"/>
  <c r="R2" i="2" s="1" a="1"/>
  <c r="J2" i="2" a="1"/>
  <c r="J2" i="2" s="1"/>
  <c r="J5" i="3" l="1"/>
  <c r="H5" i="4"/>
  <c r="AL2" i="2" a="1"/>
  <c r="AL2" i="2" s="1"/>
  <c r="U2" i="2" s="1" a="1"/>
  <c r="U2" i="2" s="1"/>
  <c r="AN2" i="2" a="1"/>
  <c r="AN2" i="2" s="1"/>
  <c r="S2" i="2" s="1" a="1"/>
  <c r="S2" i="2" s="1"/>
  <c r="R2" i="2"/>
  <c r="T14" i="2"/>
  <c r="T26" i="2"/>
  <c r="T6" i="2"/>
  <c r="T7" i="2"/>
  <c r="T8" i="2"/>
  <c r="T9" i="2"/>
  <c r="T10" i="2"/>
  <c r="T11" i="2"/>
  <c r="T12" i="2"/>
  <c r="T13" i="2"/>
  <c r="T15" i="2"/>
  <c r="T27" i="2"/>
  <c r="T16" i="2"/>
  <c r="T17" i="2"/>
  <c r="T18" i="2"/>
  <c r="T30" i="2"/>
  <c r="T19" i="2"/>
  <c r="T32" i="2"/>
  <c r="T34" i="2"/>
  <c r="T24" i="2"/>
  <c r="T25" i="2"/>
  <c r="T28" i="2"/>
  <c r="T31" i="2"/>
  <c r="T33" i="2"/>
  <c r="T3" i="2"/>
  <c r="T29" i="2"/>
  <c r="T20" i="2"/>
  <c r="T21" i="2"/>
  <c r="T22" i="2"/>
  <c r="T23" i="2"/>
  <c r="T4" i="2"/>
  <c r="T5" i="2"/>
  <c r="L2" i="2" a="1"/>
  <c r="L2" i="2" s="1"/>
  <c r="AM2" i="2" a="1"/>
  <c r="AM2" i="2" s="1"/>
  <c r="W2" i="2" s="1" a="1"/>
  <c r="W2" i="2" s="1"/>
  <c r="Q2" i="2" a="1"/>
  <c r="Q2" i="2" s="1"/>
  <c r="BD2" i="2" l="1" a="1"/>
  <c r="BD2" i="2" s="1"/>
  <c r="BF2" i="2" s="1" a="1"/>
  <c r="BF2" i="2" s="1"/>
  <c r="C9" i="7" a="1"/>
  <c r="C9" i="7" s="1"/>
  <c r="I9" i="7" s="1" a="1"/>
  <c r="I9" i="7" s="1"/>
  <c r="V2" i="2" a="1"/>
  <c r="V2" i="2" s="1"/>
  <c r="G2" i="2" a="1"/>
  <c r="T2" i="2"/>
  <c r="BG2" i="2" l="1" a="1"/>
  <c r="BG2" i="2" s="1"/>
  <c r="F9" i="7" a="1"/>
  <c r="F9" i="7" s="1"/>
  <c r="BE2" i="2" a="1"/>
  <c r="BE2" i="2" s="1"/>
  <c r="G9" i="7" a="1"/>
  <c r="G9" i="7" s="1"/>
  <c r="G25" i="7" s="1"/>
  <c r="F5" i="4" s="1"/>
  <c r="D9" i="7" a="1"/>
  <c r="D9" i="7" s="1"/>
  <c r="E9" i="7" a="1"/>
  <c r="E9" i="7" s="1"/>
  <c r="E25" i="7" s="1"/>
  <c r="I25" i="7"/>
  <c r="G2" i="2"/>
  <c r="I2" i="2" s="1" a="1"/>
  <c r="I2" i="2" s="1"/>
  <c r="M2" i="2" s="1" a="1"/>
  <c r="M2" i="2" l="1"/>
  <c r="Q9" i="7" s="1" a="1"/>
  <c r="Q9" i="7" s="1"/>
  <c r="Q25" i="7" s="1"/>
  <c r="G5" i="7"/>
  <c r="G5" i="3"/>
  <c r="O9" i="7" a="1"/>
  <c r="O9" i="7" s="1"/>
  <c r="P9" i="7" a="1"/>
  <c r="P9" i="7" s="1"/>
  <c r="H9" i="7" a="1"/>
  <c r="H9" i="7" s="1"/>
  <c r="J9" i="7" a="1"/>
  <c r="J9" i="7" s="1"/>
  <c r="D25" i="7"/>
  <c r="K2" i="2" a="1"/>
  <c r="K2" i="2" s="1"/>
  <c r="H38" i="2"/>
  <c r="L5" i="7" s="1"/>
  <c r="BY15" i="2" l="1" a="1"/>
  <c r="BY15" i="2" s="1"/>
  <c r="BY16" i="2" a="1"/>
  <c r="BY16" i="2" s="1"/>
  <c r="BY19" i="2" a="1"/>
  <c r="BY19" i="2" s="1"/>
  <c r="BY17" i="2" a="1"/>
  <c r="BY17" i="2" s="1"/>
  <c r="BY20" i="2" a="1"/>
  <c r="BY20" i="2" s="1"/>
  <c r="BY18" i="2" a="1"/>
  <c r="BY18" i="2" s="1"/>
  <c r="BY13" i="2" a="1"/>
  <c r="BY13" i="2" s="1"/>
  <c r="BY14" i="2" a="1"/>
  <c r="BY14" i="2" s="1"/>
  <c r="BY3" i="2" a="1"/>
  <c r="BY3" i="2" s="1"/>
  <c r="CC3" i="2" s="1" a="1"/>
  <c r="CC3" i="2" s="1"/>
  <c r="BY4" i="2" a="1"/>
  <c r="BY4" i="2" s="1"/>
  <c r="BY5" i="2" a="1"/>
  <c r="BY5" i="2" s="1"/>
  <c r="BY11" i="2" a="1"/>
  <c r="BY11" i="2" s="1"/>
  <c r="BY6" i="2" a="1"/>
  <c r="BY6" i="2" s="1"/>
  <c r="BY12" i="2" a="1"/>
  <c r="BY12" i="2" s="1"/>
  <c r="BY7" i="2" a="1"/>
  <c r="BY7" i="2" s="1"/>
  <c r="BY8" i="2" a="1"/>
  <c r="BY8" i="2" s="1"/>
  <c r="BY9" i="2" a="1"/>
  <c r="BY9" i="2" s="1"/>
  <c r="BY10" i="2" a="1"/>
  <c r="BY10" i="2" s="1"/>
  <c r="O5" i="7"/>
  <c r="O5" i="3"/>
  <c r="P5" i="4"/>
  <c r="O25" i="7"/>
  <c r="M5" i="7"/>
  <c r="J25" i="7"/>
  <c r="K9" i="7" a="1"/>
  <c r="K9" i="7" s="1"/>
  <c r="AP2" i="2" a="1"/>
  <c r="L5" i="3"/>
  <c r="J5" i="4"/>
  <c r="CB11" i="2" l="1" a="1"/>
  <c r="CB11" i="2" s="1"/>
  <c r="CC11" i="2" a="1"/>
  <c r="CC11" i="2" s="1"/>
  <c r="CB5" i="2" a="1"/>
  <c r="CB5" i="2" s="1"/>
  <c r="CC5" i="2" a="1"/>
  <c r="CC5" i="2" s="1"/>
  <c r="CB4" i="2" a="1"/>
  <c r="CB4" i="2" s="1"/>
  <c r="CC4" i="2" a="1"/>
  <c r="CC4" i="2" s="1"/>
  <c r="CB6" i="2" a="1"/>
  <c r="CB6" i="2" s="1"/>
  <c r="CC6" i="2" a="1"/>
  <c r="CC6" i="2" s="1"/>
  <c r="CB14" i="2" a="1"/>
  <c r="CB14" i="2" s="1"/>
  <c r="CC14" i="2" a="1"/>
  <c r="CC14" i="2" s="1"/>
  <c r="CB13" i="2" a="1"/>
  <c r="CB13" i="2" s="1"/>
  <c r="CC13" i="2" a="1"/>
  <c r="CC13" i="2" s="1"/>
  <c r="CB10" i="2" a="1"/>
  <c r="CB10" i="2" s="1"/>
  <c r="CC10" i="2" a="1"/>
  <c r="CC10" i="2" s="1"/>
  <c r="CB9" i="2" a="1"/>
  <c r="CB9" i="2" s="1"/>
  <c r="CC9" i="2" a="1"/>
  <c r="CC9" i="2" s="1"/>
  <c r="CB8" i="2" a="1"/>
  <c r="CB8" i="2" s="1"/>
  <c r="CC8" i="2" a="1"/>
  <c r="CC8" i="2" s="1"/>
  <c r="CB12" i="2" a="1"/>
  <c r="CB12" i="2" s="1"/>
  <c r="CC12" i="2" a="1"/>
  <c r="CC12" i="2" s="1"/>
  <c r="CB7" i="2" a="1"/>
  <c r="CB7" i="2" s="1"/>
  <c r="CC7" i="2" a="1"/>
  <c r="CC7" i="2" s="1"/>
  <c r="CB3" i="2" a="1"/>
  <c r="CB3" i="2" s="1"/>
  <c r="CA3" i="2" a="1"/>
  <c r="CA3" i="2" s="1"/>
  <c r="P10" i="4" a="1"/>
  <c r="P10" i="4" s="1"/>
  <c r="BZ11" i="2" a="1"/>
  <c r="BZ11" i="2" s="1"/>
  <c r="CA11" i="2" a="1"/>
  <c r="CA11" i="2" s="1"/>
  <c r="BZ5" i="2" a="1"/>
  <c r="BZ5" i="2" s="1"/>
  <c r="CA5" i="2" a="1"/>
  <c r="CA5" i="2" s="1"/>
  <c r="BZ7" i="2" a="1"/>
  <c r="BZ7" i="2" s="1"/>
  <c r="CA7" i="2" a="1"/>
  <c r="CA7" i="2" s="1"/>
  <c r="BZ4" i="2" a="1"/>
  <c r="BZ4" i="2" s="1"/>
  <c r="CA4" i="2" a="1"/>
  <c r="CA4" i="2" s="1"/>
  <c r="BZ12" i="2" a="1"/>
  <c r="BZ12" i="2" s="1"/>
  <c r="CA12" i="2" a="1"/>
  <c r="CA12" i="2" s="1"/>
  <c r="BZ6" i="2" a="1"/>
  <c r="BZ6" i="2" s="1"/>
  <c r="CA6" i="2" a="1"/>
  <c r="CA6" i="2" s="1"/>
  <c r="BZ14" i="2" a="1"/>
  <c r="BZ14" i="2" s="1"/>
  <c r="CA14" i="2" a="1"/>
  <c r="CA14" i="2" s="1"/>
  <c r="BZ13" i="2" a="1"/>
  <c r="BZ13" i="2" s="1"/>
  <c r="CA13" i="2" a="1"/>
  <c r="CA13" i="2" s="1"/>
  <c r="BZ10" i="2" a="1"/>
  <c r="BZ10" i="2" s="1"/>
  <c r="CA10" i="2" a="1"/>
  <c r="CA10" i="2" s="1"/>
  <c r="BZ18" i="2" a="1"/>
  <c r="BZ18" i="2" s="1"/>
  <c r="CA18" i="2" a="1"/>
  <c r="CA18" i="2" s="1"/>
  <c r="BZ9" i="2" a="1"/>
  <c r="BZ9" i="2" s="1"/>
  <c r="CA9" i="2" a="1"/>
  <c r="CA9" i="2" s="1"/>
  <c r="BZ17" i="2" a="1"/>
  <c r="BZ17" i="2" s="1"/>
  <c r="CA17" i="2" a="1"/>
  <c r="CA17" i="2" s="1"/>
  <c r="CA19" i="2" a="1"/>
  <c r="CA19" i="2" s="1"/>
  <c r="BZ16" i="2" a="1"/>
  <c r="BZ16" i="2" s="1"/>
  <c r="CA16" i="2" a="1"/>
  <c r="CA16" i="2" s="1"/>
  <c r="BZ8" i="2" a="1"/>
  <c r="BZ8" i="2" s="1"/>
  <c r="CA8" i="2" a="1"/>
  <c r="CA8" i="2" s="1"/>
  <c r="BZ15" i="2" a="1"/>
  <c r="BZ15" i="2" s="1"/>
  <c r="CA15" i="2" a="1"/>
  <c r="CA15" i="2" s="1"/>
  <c r="BZ3" i="2" a="1"/>
  <c r="BZ3" i="2" s="1"/>
  <c r="A2" i="6" a="1"/>
  <c r="A2" i="6" s="1"/>
  <c r="D2" i="6" s="1" a="1"/>
  <c r="D2" i="6" s="1"/>
  <c r="D17" i="6" s="1"/>
  <c r="L5" i="4"/>
  <c r="M5" i="3"/>
  <c r="AP2" i="2"/>
  <c r="AW4" i="2" s="1"/>
  <c r="CJ2" i="2" s="1"/>
  <c r="R10" i="4" l="1" a="1"/>
  <c r="R10" i="4" s="1"/>
  <c r="Q10" i="4" a="1"/>
  <c r="Q10" i="4" s="1"/>
  <c r="C2" i="6" a="1"/>
  <c r="C2" i="6" s="1"/>
  <c r="C17" i="6" s="1"/>
  <c r="B2" i="6" a="1"/>
  <c r="B2" i="6" s="1"/>
  <c r="B17" i="6" s="1"/>
  <c r="BW3" i="2" a="1"/>
  <c r="BW3" i="2" s="1"/>
  <c r="F20" i="3"/>
  <c r="BQ3" i="2" a="1"/>
  <c r="BQ3" i="2" s="1"/>
  <c r="BP3" i="2" s="1" a="1"/>
  <c r="BP3" i="2" s="1"/>
  <c r="BT3" i="2" a="1"/>
  <c r="BT3" i="2" s="1"/>
  <c r="BS3" i="2" s="1" a="1"/>
  <c r="BS3" i="2" s="1"/>
  <c r="BJ3" i="2" a="1"/>
  <c r="BJ3" i="2" s="1"/>
  <c r="Q5" i="3"/>
  <c r="N10" i="3"/>
  <c r="N18" i="3"/>
  <c r="E20" i="3"/>
  <c r="G20" i="3"/>
  <c r="BI3" i="2" a="1"/>
  <c r="BI3" i="2" s="1"/>
  <c r="AW5" i="2"/>
  <c r="C10" i="3" s="1" a="1"/>
  <c r="C10" i="3" s="1"/>
  <c r="R5" i="4"/>
  <c r="Q5" i="7"/>
  <c r="BN3" i="2" a="1"/>
  <c r="BN3" i="2" s="1"/>
  <c r="BL3" i="2" a="1"/>
  <c r="BL3" i="2" s="1"/>
  <c r="BM3" i="2" a="1"/>
  <c r="BM3" i="2" s="1"/>
  <c r="Q25" i="4" l="1"/>
  <c r="N5" i="4"/>
  <c r="BV3" i="2" a="1"/>
  <c r="BV3"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<sst xmlns="http://schemas.openxmlformats.org/spreadsheetml/2006/main" count="3506" uniqueCount="174">
  <si>
    <t>Date</t>
  </si>
  <si>
    <t>Type</t>
  </si>
  <si>
    <t>Buy</t>
  </si>
  <si>
    <t>Sell</t>
  </si>
  <si>
    <t>BUY</t>
  </si>
  <si>
    <t>SELL</t>
  </si>
  <si>
    <t>3DP</t>
  </si>
  <si>
    <t>4DX</t>
  </si>
  <si>
    <t>ANW</t>
  </si>
  <si>
    <t>BUB</t>
  </si>
  <si>
    <t>BUD</t>
  </si>
  <si>
    <t>CCE</t>
  </si>
  <si>
    <t>DUG</t>
  </si>
  <si>
    <t>FFF</t>
  </si>
  <si>
    <t>ICG</t>
  </si>
  <si>
    <t>MKR</t>
  </si>
  <si>
    <t>NDQ</t>
  </si>
  <si>
    <t>PYR</t>
  </si>
  <si>
    <t>RLT</t>
  </si>
  <si>
    <t>SHG</t>
  </si>
  <si>
    <t>SYA</t>
  </si>
  <si>
    <t>SYI</t>
  </si>
  <si>
    <t>TNT</t>
  </si>
  <si>
    <t>VML</t>
  </si>
  <si>
    <t>ANL</t>
  </si>
  <si>
    <t>CBA</t>
  </si>
  <si>
    <t>Stock</t>
  </si>
  <si>
    <t>ADA</t>
  </si>
  <si>
    <t>AXS</t>
  </si>
  <si>
    <t>BNB</t>
  </si>
  <si>
    <t>DOGE</t>
  </si>
  <si>
    <t>GMT</t>
  </si>
  <si>
    <t>LAZIO</t>
  </si>
  <si>
    <t>MANA</t>
  </si>
  <si>
    <t>PORTO</t>
  </si>
  <si>
    <t>SHIB</t>
  </si>
  <si>
    <t>STX</t>
  </si>
  <si>
    <t>UMA</t>
  </si>
  <si>
    <t>VOXEL</t>
  </si>
  <si>
    <t>XRP</t>
  </si>
  <si>
    <t>Transacted Units</t>
  </si>
  <si>
    <t>Transacted Price (per unit)</t>
  </si>
  <si>
    <t>Fees</t>
  </si>
  <si>
    <t>Trade Type</t>
  </si>
  <si>
    <t>Qty (Day)</t>
  </si>
  <si>
    <t>Buy Value (Day)</t>
  </si>
  <si>
    <t>Sell  Value (Day)</t>
  </si>
  <si>
    <t>P/L (Day)</t>
  </si>
  <si>
    <t>Sell Qty (Long)</t>
  </si>
  <si>
    <t>Buy Value (Long)</t>
  </si>
  <si>
    <t>Sell  Value (Long)</t>
  </si>
  <si>
    <t>P/L (Long)</t>
  </si>
  <si>
    <t>Overall Qty</t>
  </si>
  <si>
    <t>Overall Buy Value</t>
  </si>
  <si>
    <t>Overall Sell Value</t>
  </si>
  <si>
    <t>Overall P/L</t>
  </si>
  <si>
    <t>Total Buy Qty (Long)</t>
  </si>
  <si>
    <t>Total Buy Value (Long)</t>
  </si>
  <si>
    <t>Charges (I)</t>
  </si>
  <si>
    <t>Charges (Long)</t>
  </si>
  <si>
    <t>Holding Qty</t>
  </si>
  <si>
    <t>Long term</t>
  </si>
  <si>
    <t>Current Value</t>
  </si>
  <si>
    <t>Inv. Value</t>
  </si>
  <si>
    <t>Inv. Price</t>
  </si>
  <si>
    <t>Charges (H)</t>
  </si>
  <si>
    <t>Price</t>
  </si>
  <si>
    <t>Industry</t>
  </si>
  <si>
    <t>No</t>
  </si>
  <si>
    <t>Order Date</t>
  </si>
  <si>
    <t>Qty</t>
  </si>
  <si>
    <t>Value</t>
  </si>
  <si>
    <t>Charges</t>
  </si>
  <si>
    <t>Erlier Bought</t>
  </si>
  <si>
    <t>Total Sold</t>
  </si>
  <si>
    <t>Holding Value</t>
  </si>
  <si>
    <t>Long Term</t>
  </si>
  <si>
    <t>Quantity</t>
  </si>
  <si>
    <t>Profit/ Loss</t>
  </si>
  <si>
    <t>P/L</t>
  </si>
  <si>
    <t>Day</t>
  </si>
  <si>
    <t>Investment</t>
  </si>
  <si>
    <t>Networth</t>
  </si>
  <si>
    <t>Long</t>
  </si>
  <si>
    <t>Mkt Value</t>
  </si>
  <si>
    <t>Option Button</t>
  </si>
  <si>
    <t>Scroll Bar</t>
  </si>
  <si>
    <t>Condition</t>
  </si>
  <si>
    <t>Formula Link</t>
  </si>
  <si>
    <t>Computer and electronics</t>
  </si>
  <si>
    <t xml:space="preserve">Health </t>
  </si>
  <si>
    <t>Crypto</t>
  </si>
  <si>
    <t>Mining</t>
  </si>
  <si>
    <t>Food industries</t>
  </si>
  <si>
    <t>Crypto gaming</t>
  </si>
  <si>
    <t>Banking</t>
  </si>
  <si>
    <t>Personal Stock Portfolio Dashboard</t>
  </si>
  <si>
    <t>Total Sold UPTO DATE</t>
  </si>
  <si>
    <t>Unrealised  Gain/(Loss)</t>
  </si>
  <si>
    <t>Total Portfolio Value</t>
  </si>
  <si>
    <t>Total Gain/(Loss)</t>
  </si>
  <si>
    <t>Profit And Loss</t>
  </si>
  <si>
    <t>Realised Profit/ Loss</t>
  </si>
  <si>
    <t>Current Holdings</t>
  </si>
  <si>
    <t>Current Market</t>
  </si>
  <si>
    <t>Unrealised P/L</t>
  </si>
  <si>
    <t>Realised P/L</t>
  </si>
  <si>
    <t>Total</t>
  </si>
  <si>
    <t>%</t>
  </si>
  <si>
    <t>Change</t>
  </si>
  <si>
    <t>Change %</t>
  </si>
  <si>
    <t>Day Gain</t>
  </si>
  <si>
    <t>Live Data required</t>
  </si>
  <si>
    <t>total sold</t>
  </si>
  <si>
    <t>Total Purchsed UPTO DATE</t>
  </si>
  <si>
    <t>total Purchased</t>
  </si>
  <si>
    <t>Current Investment Value</t>
  </si>
  <si>
    <t>Total Including all trades</t>
  </si>
  <si>
    <t>dynamic chart for dashboard</t>
  </si>
  <si>
    <t>Profit/Loss</t>
  </si>
  <si>
    <t>stock</t>
  </si>
  <si>
    <t>Portfolio Dashboard Breakdown By Date</t>
  </si>
  <si>
    <t>Row Labels</t>
  </si>
  <si>
    <t>Sum of Value</t>
  </si>
  <si>
    <t>Sum of Holding Value</t>
  </si>
  <si>
    <t>date</t>
  </si>
  <si>
    <t>Total Purchased Qty</t>
  </si>
  <si>
    <t>Total Sold Qty</t>
  </si>
  <si>
    <t>Current Holdings, P/L calculations</t>
  </si>
  <si>
    <t>total</t>
  </si>
  <si>
    <t>10 items for graphs</t>
  </si>
  <si>
    <t>sell</t>
  </si>
  <si>
    <t>buy</t>
  </si>
  <si>
    <t>PNL</t>
  </si>
  <si>
    <t>Jan</t>
  </si>
  <si>
    <t>item with losses</t>
  </si>
  <si>
    <t>current losses</t>
  </si>
  <si>
    <t>Here are Your stocks with current losses in Portfolio.</t>
  </si>
  <si>
    <t>Loss</t>
  </si>
  <si>
    <t>Total Losses</t>
  </si>
  <si>
    <t xml:space="preserve">with today's average market price for the stock in losses you will need to invest </t>
  </si>
  <si>
    <t>to make it even(DCA).</t>
  </si>
  <si>
    <t>current cost price</t>
  </si>
  <si>
    <t>purchased price</t>
  </si>
  <si>
    <t>category</t>
  </si>
  <si>
    <t>crypto shares</t>
  </si>
  <si>
    <t>Aus Shares</t>
  </si>
  <si>
    <t>sum of profit and loss</t>
  </si>
  <si>
    <t>Feb</t>
  </si>
  <si>
    <t>Mar</t>
  </si>
  <si>
    <t>Apr</t>
  </si>
  <si>
    <t>Jun</t>
  </si>
  <si>
    <t>(All)</t>
  </si>
  <si>
    <t>May</t>
  </si>
  <si>
    <t>Jul</t>
  </si>
  <si>
    <t>Aug</t>
  </si>
  <si>
    <t>Sep</t>
  </si>
  <si>
    <t>Oct</t>
  </si>
  <si>
    <t>Nov</t>
  </si>
  <si>
    <t>Dec</t>
  </si>
  <si>
    <t>2020</t>
  </si>
  <si>
    <t>2018</t>
  </si>
  <si>
    <t>2019</t>
  </si>
  <si>
    <t>2021</t>
  </si>
  <si>
    <t>2022</t>
  </si>
  <si>
    <t>average cost price</t>
  </si>
  <si>
    <t>average price</t>
  </si>
  <si>
    <t>avg price</t>
  </si>
  <si>
    <t>holding qtty</t>
  </si>
  <si>
    <t>current price</t>
  </si>
  <si>
    <t>DCA</t>
  </si>
  <si>
    <t>money to spend</t>
  </si>
  <si>
    <t xml:space="preserve">if </t>
  </si>
  <si>
    <t xml:space="preserve">DCA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</si>
</sst>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quot;$&quot;* #,##0.00_-;_-&quot;$&quot;* &quot;-&quot;??_-;_-@_-"/>
    <numFmt numFmtId="164" formatCode="&quot;$&quot;#,##0.00"/>
    <numFmt numFmtId="165" formatCode="_ [$₹-4009]\ * #,##0.00_ ;_ [$₹-4009]\ * \-#,##0.00_ ;_ [$₹-4009]\ * &quot;-&quot;??_ ;_ @_ "/>
    <numFmt numFmtId="166" formatCode="&quot;$&quot;#,##0.00000"/>
    <numFmt numFmtId="167" formatCode="&quot;$&quot;#,##0.0"/>
    <numFmt numFmtId="171" formatCode="0.000"/>
  </numFmts>
  <fonts count="48" x14ac:knownFonts="1">
    <font>
      <sz val="11"/>
      <color theme="1"/>
      <name val="Calibri"/>
      <family val="2"/>
      <scheme val="minor"/>
    </font>
    <font>
      <b/>
      <sz val="11"/>
      <color theme="0"/>
      <name val="Calibri"/>
      <family val="2"/>
      <scheme val="minor"/>
    </font>
    <font>
      <sz val="10"/>
      <color theme="1"/>
      <name val="Arial"/>
      <family val="2"/>
    </font>
    <font>
      <sz val="10"/>
      <color rgb="FF000000"/>
      <name val="Arial"/>
      <family val="2"/>
    </font>
    <font>
      <sz val="8"/>
      <color rgb="FF000000"/>
      <name val="Arial"/>
      <family val="2"/>
    </font>
    <font>
      <b/>
      <sz val="11"/>
      <color rgb="FFFFFFFF"/>
      <name val="Arial"/>
      <family val="2"/>
    </font>
    <font>
      <sz val="11"/>
      <color theme="1"/>
      <name val="Arial"/>
      <family val="2"/>
    </font>
    <font>
      <sz val="11"/>
      <color rgb="FF000000"/>
      <name val="Arial"/>
      <family val="2"/>
    </font>
    <font>
      <sz val="11"/>
      <color theme="1"/>
      <name val="Calibri"/>
      <family val="2"/>
      <scheme val="minor"/>
    </font>
    <font>
      <sz val="11"/>
      <color theme="0"/>
      <name val="Calibri"/>
      <family val="2"/>
      <scheme val="minor"/>
    </font>
    <font>
      <u/>
      <sz val="11"/>
      <color theme="10"/>
      <name val="Calibri"/>
      <family val="2"/>
      <scheme val="minor"/>
    </font>
    <font>
      <u/>
      <sz val="22"/>
      <color rgb="FFFFFF00"/>
      <name val="Calibri"/>
      <family val="2"/>
      <scheme val="minor"/>
    </font>
    <font>
      <sz val="12"/>
      <color theme="0"/>
      <name val="Calibri"/>
      <family val="2"/>
      <scheme val="minor"/>
    </font>
    <font>
      <b/>
      <sz val="11"/>
      <color theme="8" tint="-0.499984740745262"/>
      <name val="Calibri"/>
      <family val="2"/>
      <scheme val="minor"/>
    </font>
    <font>
      <sz val="16"/>
      <color theme="0"/>
      <name val="Calibri"/>
      <family val="2"/>
      <scheme val="minor"/>
    </font>
    <font>
      <sz val="20"/>
      <color theme="0"/>
      <name val="Calibri"/>
      <family val="2"/>
      <scheme val="minor"/>
    </font>
    <font>
      <sz val="18"/>
      <color theme="0"/>
      <name val="Calibri"/>
      <family val="2"/>
      <scheme val="minor"/>
    </font>
    <font>
      <sz val="24"/>
      <color theme="0"/>
      <name val="Calibri"/>
      <family val="2"/>
      <scheme val="minor"/>
    </font>
    <font>
      <b/>
      <sz val="24"/>
      <color theme="0"/>
      <name val="Calibri"/>
      <family val="2"/>
      <scheme val="minor"/>
    </font>
    <font>
      <b/>
      <sz val="12"/>
      <color theme="8" tint="-0.499984740745262"/>
      <name val="Calibri"/>
      <family val="2"/>
      <scheme val="minor"/>
    </font>
    <font>
      <b/>
      <sz val="12"/>
      <color theme="0"/>
      <name val="Calibri"/>
      <family val="2"/>
      <scheme val="minor"/>
    </font>
    <font>
      <b/>
      <sz val="26"/>
      <color theme="0"/>
      <name val="Calibri"/>
      <family val="2"/>
      <scheme val="minor"/>
    </font>
    <font>
      <b/>
      <sz val="10"/>
      <color rgb="FFFFFFFF"/>
      <name val="Calibri"/>
      <family val="2"/>
      <scheme val="minor"/>
    </font>
    <font>
      <u/>
      <sz val="24"/>
      <color rgb="FFFFFF00"/>
      <name val="Calibri"/>
      <family val="2"/>
      <scheme val="minor"/>
    </font>
    <font>
      <b/>
      <sz val="12"/>
      <color rgb="FF002060"/>
      <name val="Calibri"/>
      <family val="2"/>
      <scheme val="minor"/>
    </font>
    <font>
      <b/>
      <sz val="12"/>
      <color rgb="FF00B050"/>
      <name val="Calibri"/>
      <family val="2"/>
      <scheme val="minor"/>
    </font>
    <font>
      <b/>
      <sz val="12"/>
      <color theme="4" tint="-0.499984740745262"/>
      <name val="Calibri"/>
      <family val="2"/>
      <scheme val="minor"/>
    </font>
    <font>
      <b/>
      <sz val="14"/>
      <color theme="8" tint="-0.499984740745262"/>
      <name val="Calibri"/>
      <family val="2"/>
      <scheme val="minor"/>
    </font>
    <font>
      <b/>
      <sz val="14"/>
      <color theme="0"/>
      <name val="Calibri"/>
      <family val="2"/>
      <scheme val="minor"/>
    </font>
    <font>
      <b/>
      <sz val="36"/>
      <color theme="8" tint="-0.499984740745262"/>
      <name val="Calibri"/>
      <family val="2"/>
      <scheme val="minor"/>
    </font>
    <font>
      <b/>
      <sz val="28"/>
      <color theme="8" tint="-0.499984740745262"/>
      <name val="Calibri"/>
      <family val="2"/>
      <scheme val="minor"/>
    </font>
    <font>
      <sz val="8"/>
      <color rgb="FF000000"/>
      <name val="Segoe UI"/>
      <family val="2"/>
    </font>
    <font>
      <b/>
      <sz val="11"/>
      <color theme="1"/>
      <name val="Calibri"/>
      <family val="2"/>
      <scheme val="minor"/>
    </font>
    <font>
      <b/>
      <sz val="14"/>
      <color rgb="FF00B050"/>
      <name val="Calibri"/>
      <family val="2"/>
      <scheme val="minor"/>
    </font>
    <font>
      <b/>
      <sz val="18"/>
      <color theme="8" tint="-0.499984740745262"/>
      <name val="Calibri"/>
      <family val="2"/>
      <scheme val="minor"/>
    </font>
    <font>
      <b/>
      <sz val="18"/>
      <color theme="0"/>
      <name val="Calibri"/>
      <family val="2"/>
      <scheme val="minor"/>
    </font>
    <font>
      <sz val="18"/>
      <color theme="1"/>
      <name val="Calibri"/>
      <family val="2"/>
      <scheme val="minor"/>
    </font>
    <font>
      <b/>
      <sz val="20"/>
      <color theme="8" tint="-0.499984740745262"/>
      <name val="Calibri"/>
      <family val="2"/>
      <scheme val="minor"/>
    </font>
    <font>
      <sz val="20"/>
      <color theme="1"/>
      <name val="Calibri"/>
      <family val="2"/>
      <scheme val="minor"/>
    </font>
    <font>
      <b/>
      <sz val="14"/>
      <color rgb="FF002060"/>
      <name val="Calibri"/>
      <family val="2"/>
      <scheme val="minor"/>
    </font>
    <font>
      <sz val="11"/>
      <color rgb="FF111827"/>
      <name val="Ubuntu Mono"/>
      <family val="3"/>
    </font>
    <font>
      <b/>
      <sz val="16"/>
      <color theme="8" tint="-0.499984740745262"/>
      <name val="Calibri"/>
      <family val="2"/>
      <scheme val="minor"/>
    </font>
    <font>
      <sz val="12"/>
      <color rgb="FF002060"/>
      <name val="Calibri"/>
      <family val="2"/>
      <scheme val="minor"/>
    </font>
    <font>
      <strike/>
      <sz val="11"/>
      <color theme="1"/>
      <name val="Calibri"/>
      <family val="2"/>
      <scheme val="minor"/>
    </font>
    <font>
      <b/>
      <strike/>
      <sz val="11"/>
      <color theme="1"/>
      <name val="Calibri"/>
      <family val="2"/>
      <scheme val="minor"/>
    </font>
    <font>
      <sz val="24"/>
      <color rgb="FFFFCC00"/>
      <name val="Calibri"/>
      <family val="2"/>
    </font>
    <font>
      <sz val="12"/>
      <color rgb="FFFF0000"/>
      <name val="Calibri"/>
      <family val="2"/>
      <scheme val="minor"/>
    </font>
    <font>
      <sz val="8"/>
      <name val="Segoe UI"/>
      <family val="2"/>
    </font>
  </fonts>
  <fills count="21">
    <fill>
      <patternFill patternType="none"/>
    </fill>
    <fill>
      <patternFill patternType="gray125"/>
    </fill>
    <fill>
      <patternFill patternType="solid">
        <fgColor theme="0"/>
        <bgColor indexed="64"/>
      </patternFill>
    </fill>
    <fill>
      <patternFill patternType="solid">
        <fgColor theme="5"/>
        <bgColor indexed="64"/>
      </patternFill>
    </fill>
    <fill>
      <patternFill patternType="solid">
        <fgColor theme="1"/>
        <bgColor indexed="64"/>
      </patternFill>
    </fill>
    <fill>
      <patternFill patternType="solid">
        <fgColor rgb="FF0070C0"/>
        <bgColor indexed="64"/>
      </patternFill>
    </fill>
    <fill>
      <patternFill patternType="solid">
        <fgColor rgb="FF7030A0"/>
        <bgColor indexed="64"/>
      </patternFill>
    </fill>
    <fill>
      <patternFill patternType="solid">
        <fgColor rgb="FF002060"/>
        <bgColor indexed="64"/>
      </patternFill>
    </fill>
    <fill>
      <patternFill patternType="solid">
        <fgColor rgb="FFC00000"/>
        <bgColor indexed="64"/>
      </patternFill>
    </fill>
    <fill>
      <patternFill patternType="solid">
        <fgColor rgb="FFFFFF00"/>
        <bgColor indexed="64"/>
      </patternFill>
    </fill>
    <fill>
      <patternFill patternType="solid">
        <fgColor theme="0" tint="-0.249977111117893"/>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rgb="FF1E3246"/>
        <bgColor indexed="64"/>
      </patternFill>
    </fill>
    <fill>
      <patternFill patternType="solid">
        <fgColor rgb="FF2D4B69"/>
        <bgColor indexed="64"/>
      </patternFill>
    </fill>
    <fill>
      <patternFill patternType="solid">
        <fgColor rgb="FF35587B"/>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5" tint="0.39997558519241921"/>
        <bgColor indexed="64"/>
      </patternFill>
    </fill>
    <fill>
      <patternFill patternType="solid">
        <fgColor theme="0" tint="-0.14999847407452621"/>
        <bgColor indexed="64"/>
      </patternFill>
    </fill>
  </fills>
  <borders count="33">
    <border>
      <left/>
      <right/>
      <top/>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theme="2"/>
      </left>
      <right style="thin">
        <color theme="2"/>
      </right>
      <top style="thin">
        <color theme="2"/>
      </top>
      <bottom style="thin">
        <color theme="2"/>
      </bottom>
      <diagonal/>
    </border>
    <border>
      <left/>
      <right/>
      <top/>
      <bottom style="thick">
        <color theme="8" tint="0.59996337778862885"/>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top/>
      <bottom style="medium">
        <color indexed="64"/>
      </bottom>
      <diagonal/>
    </border>
    <border>
      <left/>
      <right/>
      <top/>
      <bottom style="thin">
        <color rgb="FF5A96D2"/>
      </bottom>
      <diagonal/>
    </border>
    <border>
      <left/>
      <right style="thin">
        <color rgb="FF5A96D2"/>
      </right>
      <top/>
      <bottom style="thin">
        <color rgb="FF5A96D2"/>
      </bottom>
      <diagonal/>
    </border>
    <border>
      <left style="thin">
        <color rgb="FF5A96D2"/>
      </left>
      <right/>
      <top/>
      <bottom style="thin">
        <color rgb="FF5A96D2"/>
      </bottom>
      <diagonal/>
    </border>
    <border>
      <left/>
      <right/>
      <top style="thin">
        <color rgb="FF5A96D2"/>
      </top>
      <bottom style="thin">
        <color rgb="FF5A96D2"/>
      </bottom>
      <diagonal/>
    </border>
    <border>
      <left/>
      <right style="thin">
        <color rgb="FF5A96D2"/>
      </right>
      <top style="thin">
        <color rgb="FF5A96D2"/>
      </top>
      <bottom style="thin">
        <color rgb="FF5A96D2"/>
      </bottom>
      <diagonal/>
    </border>
    <border>
      <left style="thin">
        <color rgb="FF5A96D2"/>
      </left>
      <right/>
      <top style="thin">
        <color rgb="FF5A96D2"/>
      </top>
      <bottom style="thin">
        <color rgb="FF5A96D2"/>
      </bottom>
      <diagonal/>
    </border>
    <border>
      <left/>
      <right/>
      <top style="thin">
        <color rgb="FF5A96D2"/>
      </top>
      <bottom/>
      <diagonal/>
    </border>
    <border>
      <left/>
      <right style="thin">
        <color rgb="FF5A96D2"/>
      </right>
      <top style="thin">
        <color rgb="FF5A96D2"/>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style="thin">
        <color rgb="FF5A96D2"/>
      </left>
      <right/>
      <top style="thin">
        <color rgb="FF5A96D2"/>
      </top>
      <bottom/>
      <diagonal/>
    </border>
    <border>
      <left style="thin">
        <color rgb="FF5A96D2"/>
      </left>
      <right style="thin">
        <color rgb="FF5A96D2"/>
      </right>
      <top style="thin">
        <color rgb="FF5A96D2"/>
      </top>
      <bottom/>
      <diagonal/>
    </border>
    <border>
      <left/>
      <right/>
      <top style="thin">
        <color indexed="64"/>
      </top>
      <bottom style="thin">
        <color indexed="64"/>
      </bottom>
      <diagonal/>
    </border>
    <border>
      <left/>
      <right style="thin">
        <color auto="1"/>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rgb="FF5A96D2"/>
      </left>
      <right style="thin">
        <color rgb="FF5A96D2"/>
      </right>
      <top/>
      <bottom style="thin">
        <color auto="1"/>
      </bottom>
      <diagonal/>
    </border>
    <border>
      <left style="thin">
        <color rgb="FF5A96D2"/>
      </left>
      <right style="thin">
        <color rgb="FF5A96D2"/>
      </right>
      <top style="thin">
        <color auto="1"/>
      </top>
      <bottom style="thin">
        <color auto="1"/>
      </bottom>
      <diagonal/>
    </border>
    <border>
      <left/>
      <right/>
      <top style="thick">
        <color theme="8" tint="0.59996337778862885"/>
      </top>
      <bottom/>
      <diagonal/>
    </border>
  </borders>
  <cellStyleXfs count="4">
    <xf numFmtId="0" fontId="0" fillId="0" borderId="0"/>
    <xf numFmtId="44" fontId="8" fillId="0" borderId="0" applyFont="0" applyFill="0" applyBorder="0" applyAlignment="0" applyProtection="0"/>
    <xf numFmtId="9" fontId="8" fillId="0" borderId="0" applyFont="0" applyFill="0" applyBorder="0" applyAlignment="0" applyProtection="0"/>
    <xf numFmtId="0" fontId="10" fillId="0" borderId="0" applyNumberFormat="0" applyFill="0" applyBorder="0" applyAlignment="0" applyProtection="0"/>
  </cellStyleXfs>
  <cellXfs count="215">
    <xf numFmtId="0" fontId="0" fillId="0" borderId="0" xfId="0"/>
    <xf numFmtId="14" fontId="0" fillId="0" borderId="0" xfId="0" applyNumberFormat="1"/>
    <xf numFmtId="0" fontId="1" fillId="4" borderId="0" xfId="0" applyFont="1" applyFill="1" applyAlignment="1">
      <alignment horizontal="center" vertical="center"/>
    </xf>
    <xf numFmtId="0" fontId="1" fillId="5" borderId="0" xfId="0" applyFont="1" applyFill="1" applyAlignment="1">
      <alignment horizontal="center" vertical="center"/>
    </xf>
    <xf numFmtId="0" fontId="1" fillId="6" borderId="0" xfId="0" applyFont="1" applyFill="1" applyAlignment="1">
      <alignment horizontal="center" vertical="center"/>
    </xf>
    <xf numFmtId="0" fontId="1" fillId="7" borderId="0" xfId="0" applyFont="1" applyFill="1" applyAlignment="1">
      <alignment horizontal="center" vertical="center"/>
    </xf>
    <xf numFmtId="2" fontId="1" fillId="7" borderId="0" xfId="0" applyNumberFormat="1" applyFont="1" applyFill="1" applyAlignment="1">
      <alignment horizontal="center" vertical="center"/>
    </xf>
    <xf numFmtId="0" fontId="1" fillId="8" borderId="0" xfId="0" applyFont="1" applyFill="1" applyAlignment="1">
      <alignment horizontal="center" vertical="center"/>
    </xf>
    <xf numFmtId="14" fontId="1" fillId="7" borderId="0" xfId="0" applyNumberFormat="1" applyFont="1" applyFill="1" applyAlignment="1">
      <alignment horizontal="center" vertical="center"/>
    </xf>
    <xf numFmtId="0" fontId="1" fillId="0" borderId="0" xfId="0" applyFont="1" applyAlignment="1">
      <alignment horizontal="center" vertical="center"/>
    </xf>
    <xf numFmtId="0" fontId="1" fillId="4" borderId="0" xfId="0" applyFont="1" applyFill="1"/>
    <xf numFmtId="0" fontId="0" fillId="9" borderId="0" xfId="0" applyFill="1"/>
    <xf numFmtId="165" fontId="0" fillId="10" borderId="0" xfId="0" applyNumberFormat="1" applyFill="1"/>
    <xf numFmtId="164" fontId="0" fillId="0" borderId="0" xfId="0" applyNumberFormat="1"/>
    <xf numFmtId="0" fontId="0" fillId="2" borderId="0" xfId="0" applyFill="1" applyAlignment="1">
      <alignment horizontal="center" vertical="top"/>
    </xf>
    <xf numFmtId="14" fontId="6" fillId="2" borderId="0" xfId="0" applyNumberFormat="1" applyFont="1" applyFill="1" applyAlignment="1">
      <alignment horizontal="center" vertical="top" wrapText="1"/>
    </xf>
    <xf numFmtId="0" fontId="7" fillId="2" borderId="0" xfId="0" applyFont="1" applyFill="1" applyAlignment="1">
      <alignment horizontal="center" vertical="top" wrapText="1"/>
    </xf>
    <xf numFmtId="2" fontId="7" fillId="2" borderId="0" xfId="0" applyNumberFormat="1" applyFont="1" applyFill="1" applyAlignment="1">
      <alignment horizontal="center" vertical="top" wrapText="1"/>
    </xf>
    <xf numFmtId="164" fontId="7" fillId="2" borderId="0" xfId="0" applyNumberFormat="1" applyFont="1" applyFill="1" applyAlignment="1">
      <alignment horizontal="center" vertical="top" wrapText="1"/>
    </xf>
    <xf numFmtId="164" fontId="6" fillId="2" borderId="0" xfId="0" applyNumberFormat="1" applyFont="1" applyFill="1" applyAlignment="1">
      <alignment horizontal="center" vertical="top" wrapText="1"/>
    </xf>
    <xf numFmtId="164" fontId="7" fillId="2" borderId="0" xfId="0" applyNumberFormat="1" applyFont="1" applyFill="1" applyAlignment="1">
      <alignment horizontal="left" vertical="top" wrapText="1" indent="2"/>
    </xf>
    <xf numFmtId="14" fontId="7" fillId="2" borderId="0" xfId="0" applyNumberFormat="1" applyFont="1" applyFill="1" applyAlignment="1">
      <alignment horizontal="center" vertical="top" wrapText="1"/>
    </xf>
    <xf numFmtId="2" fontId="6" fillId="2" borderId="0" xfId="0" applyNumberFormat="1" applyFont="1" applyFill="1" applyAlignment="1">
      <alignment horizontal="center" vertical="top" wrapText="1"/>
    </xf>
    <xf numFmtId="0" fontId="6" fillId="2" borderId="0" xfId="0" applyFont="1" applyFill="1" applyAlignment="1">
      <alignment horizontal="center" vertical="top" wrapText="1"/>
    </xf>
    <xf numFmtId="14" fontId="3" fillId="2" borderId="0" xfId="0" applyNumberFormat="1" applyFont="1" applyFill="1" applyAlignment="1">
      <alignment horizontal="center" vertical="top" wrapText="1"/>
    </xf>
    <xf numFmtId="0" fontId="3" fillId="2" borderId="0" xfId="0" applyFont="1" applyFill="1" applyAlignment="1">
      <alignment horizontal="center" vertical="top" wrapText="1"/>
    </xf>
    <xf numFmtId="0" fontId="4" fillId="2" borderId="0" xfId="0" applyFont="1" applyFill="1" applyAlignment="1">
      <alignment horizontal="center" vertical="top" wrapText="1"/>
    </xf>
    <xf numFmtId="2" fontId="2" fillId="2" borderId="0" xfId="0" applyNumberFormat="1" applyFont="1" applyFill="1" applyAlignment="1">
      <alignment horizontal="center" vertical="top" wrapText="1"/>
    </xf>
    <xf numFmtId="164" fontId="2" fillId="2" borderId="0" xfId="0" applyNumberFormat="1" applyFont="1" applyFill="1" applyAlignment="1">
      <alignment horizontal="center" vertical="top" wrapText="1"/>
    </xf>
    <xf numFmtId="164" fontId="4" fillId="2" borderId="0" xfId="0" applyNumberFormat="1" applyFont="1" applyFill="1" applyAlignment="1">
      <alignment horizontal="center" vertical="top" wrapText="1"/>
    </xf>
    <xf numFmtId="164" fontId="0" fillId="2" borderId="0" xfId="0" applyNumberFormat="1" applyFill="1" applyAlignment="1">
      <alignment horizontal="left" vertical="top" indent="2"/>
    </xf>
    <xf numFmtId="2" fontId="0" fillId="2" borderId="0" xfId="0" applyNumberFormat="1" applyFill="1" applyAlignment="1">
      <alignment horizontal="center" vertical="top"/>
    </xf>
    <xf numFmtId="164" fontId="0" fillId="2" borderId="0" xfId="0" applyNumberFormat="1" applyFill="1" applyAlignment="1">
      <alignment horizontal="center" vertical="top"/>
    </xf>
    <xf numFmtId="14" fontId="2" fillId="2" borderId="0" xfId="0" applyNumberFormat="1" applyFont="1" applyFill="1" applyAlignment="1">
      <alignment horizontal="center" vertical="top"/>
    </xf>
    <xf numFmtId="14" fontId="5" fillId="3" borderId="0" xfId="0" applyNumberFormat="1" applyFont="1" applyFill="1" applyAlignment="1">
      <alignment horizontal="center" vertical="top" wrapText="1"/>
    </xf>
    <xf numFmtId="0" fontId="5" fillId="3" borderId="0" xfId="0" applyFont="1" applyFill="1" applyAlignment="1">
      <alignment horizontal="center" vertical="top" wrapText="1"/>
    </xf>
    <xf numFmtId="2" fontId="5" fillId="3" borderId="0" xfId="0" applyNumberFormat="1" applyFont="1" applyFill="1" applyAlignment="1">
      <alignment horizontal="center" vertical="top" wrapText="1"/>
    </xf>
    <xf numFmtId="164" fontId="5" fillId="3" borderId="0" xfId="0" applyNumberFormat="1" applyFont="1" applyFill="1" applyAlignment="1">
      <alignment horizontal="center" vertical="top" wrapText="1"/>
    </xf>
    <xf numFmtId="164" fontId="5" fillId="3" borderId="0" xfId="0" applyNumberFormat="1" applyFont="1" applyFill="1" applyAlignment="1">
      <alignment horizontal="left" vertical="top" wrapText="1" indent="2"/>
    </xf>
    <xf numFmtId="2" fontId="1" fillId="5" borderId="0" xfId="0" applyNumberFormat="1" applyFont="1" applyFill="1" applyAlignment="1">
      <alignment horizontal="center" vertical="center"/>
    </xf>
    <xf numFmtId="2" fontId="0" fillId="0" borderId="0" xfId="0" applyNumberFormat="1"/>
    <xf numFmtId="164" fontId="1" fillId="5" borderId="0" xfId="0" applyNumberFormat="1" applyFont="1" applyFill="1" applyAlignment="1">
      <alignment horizontal="center" vertical="center"/>
    </xf>
    <xf numFmtId="1" fontId="0" fillId="0" borderId="0" xfId="0" applyNumberFormat="1"/>
    <xf numFmtId="164" fontId="1" fillId="7" borderId="0" xfId="0" applyNumberFormat="1" applyFont="1" applyFill="1" applyAlignment="1">
      <alignment horizontal="center" vertical="center"/>
    </xf>
    <xf numFmtId="2" fontId="1" fillId="4" borderId="0" xfId="0" applyNumberFormat="1" applyFont="1" applyFill="1" applyAlignment="1">
      <alignment horizontal="center" vertical="center"/>
    </xf>
    <xf numFmtId="164" fontId="1" fillId="4" borderId="0" xfId="0" applyNumberFormat="1" applyFont="1" applyFill="1" applyAlignment="1">
      <alignment horizontal="center" vertical="center"/>
    </xf>
    <xf numFmtId="164" fontId="12" fillId="11" borderId="0" xfId="0" applyNumberFormat="1" applyFont="1" applyFill="1" applyAlignment="1">
      <alignment horizontal="center" vertical="top" wrapText="1"/>
    </xf>
    <xf numFmtId="0" fontId="12" fillId="11" borderId="0" xfId="0" applyFont="1" applyFill="1" applyAlignment="1">
      <alignment horizontal="center" vertical="top"/>
    </xf>
    <xf numFmtId="0" fontId="13" fillId="12" borderId="0" xfId="0" applyFont="1" applyFill="1"/>
    <xf numFmtId="164" fontId="14" fillId="11" borderId="6" xfId="0" applyNumberFormat="1" applyFont="1" applyFill="1" applyBorder="1"/>
    <xf numFmtId="164" fontId="15" fillId="11" borderId="6" xfId="2" applyNumberFormat="1" applyFont="1" applyFill="1" applyBorder="1" applyAlignment="1">
      <alignment horizontal="center" vertical="center"/>
    </xf>
    <xf numFmtId="164" fontId="16" fillId="11" borderId="6" xfId="0" applyNumberFormat="1" applyFont="1" applyFill="1" applyBorder="1" applyAlignment="1">
      <alignment vertical="center"/>
    </xf>
    <xf numFmtId="0" fontId="12" fillId="11" borderId="0" xfId="0" applyFont="1" applyFill="1" applyAlignment="1">
      <alignment horizontal="center" vertical="top" wrapText="1"/>
    </xf>
    <xf numFmtId="0" fontId="18" fillId="12" borderId="0" xfId="0" applyFont="1" applyFill="1"/>
    <xf numFmtId="2" fontId="20" fillId="5" borderId="8" xfId="0" applyNumberFormat="1" applyFont="1" applyFill="1" applyBorder="1"/>
    <xf numFmtId="164" fontId="20" fillId="5" borderId="8" xfId="0" applyNumberFormat="1" applyFont="1" applyFill="1" applyBorder="1"/>
    <xf numFmtId="0" fontId="0" fillId="2" borderId="0" xfId="0" applyFill="1"/>
    <xf numFmtId="0" fontId="19" fillId="12" borderId="0" xfId="0" applyFont="1" applyFill="1"/>
    <xf numFmtId="0" fontId="22" fillId="14" borderId="12" xfId="0" applyFont="1" applyFill="1" applyBorder="1" applyAlignment="1">
      <alignment horizontal="center" vertical="center"/>
    </xf>
    <xf numFmtId="2" fontId="18" fillId="12" borderId="0" xfId="0" applyNumberFormat="1" applyFont="1" applyFill="1"/>
    <xf numFmtId="2" fontId="13" fillId="12" borderId="0" xfId="0" applyNumberFormat="1" applyFont="1" applyFill="1"/>
    <xf numFmtId="2" fontId="20" fillId="15" borderId="24" xfId="0" applyNumberFormat="1" applyFont="1" applyFill="1" applyBorder="1" applyAlignment="1">
      <alignment horizontal="center" vertical="center"/>
    </xf>
    <xf numFmtId="0" fontId="20" fillId="15" borderId="19" xfId="0" applyFont="1" applyFill="1" applyBorder="1" applyAlignment="1">
      <alignment horizontal="center" vertical="center"/>
    </xf>
    <xf numFmtId="0" fontId="20" fillId="15" borderId="23" xfId="0" applyFont="1" applyFill="1" applyBorder="1" applyAlignment="1">
      <alignment horizontal="center" vertical="center"/>
    </xf>
    <xf numFmtId="0" fontId="20" fillId="15" borderId="18" xfId="0" applyFont="1" applyFill="1" applyBorder="1" applyAlignment="1">
      <alignment horizontal="center" vertical="center"/>
    </xf>
    <xf numFmtId="0" fontId="20" fillId="15" borderId="17" xfId="0" applyFont="1" applyFill="1" applyBorder="1" applyAlignment="1">
      <alignment horizontal="center" vertical="center"/>
    </xf>
    <xf numFmtId="0" fontId="20" fillId="15" borderId="15" xfId="0" applyFont="1" applyFill="1" applyBorder="1" applyAlignment="1">
      <alignment horizontal="center" vertical="center"/>
    </xf>
    <xf numFmtId="0" fontId="20" fillId="15" borderId="16" xfId="0" applyFont="1" applyFill="1" applyBorder="1" applyAlignment="1">
      <alignment horizontal="center" vertical="center"/>
    </xf>
    <xf numFmtId="0" fontId="0" fillId="2" borderId="5" xfId="0" applyFill="1" applyBorder="1"/>
    <xf numFmtId="0" fontId="9" fillId="8" borderId="0" xfId="0" applyFont="1" applyFill="1" applyAlignment="1">
      <alignment horizontal="center" vertical="center"/>
    </xf>
    <xf numFmtId="0" fontId="0" fillId="2" borderId="5" xfId="0" applyFill="1" applyBorder="1" applyAlignment="1">
      <alignment horizontal="center" vertical="center" wrapText="1"/>
    </xf>
    <xf numFmtId="0" fontId="24" fillId="5" borderId="7" xfId="0" applyFont="1" applyFill="1" applyBorder="1"/>
    <xf numFmtId="164" fontId="0" fillId="10" borderId="0" xfId="0" applyNumberFormat="1" applyFill="1" applyAlignment="1">
      <alignment horizontal="left" vertical="center" indent="1"/>
    </xf>
    <xf numFmtId="0" fontId="0" fillId="10" borderId="0" xfId="0" applyFill="1"/>
    <xf numFmtId="164" fontId="0" fillId="10" borderId="0" xfId="0" applyNumberFormat="1" applyFill="1"/>
    <xf numFmtId="2" fontId="19" fillId="12" borderId="0" xfId="0" applyNumberFormat="1" applyFont="1" applyFill="1"/>
    <xf numFmtId="0" fontId="24" fillId="12" borderId="0" xfId="0" applyFont="1" applyFill="1"/>
    <xf numFmtId="2" fontId="20" fillId="12" borderId="0" xfId="0" applyNumberFormat="1" applyFont="1" applyFill="1"/>
    <xf numFmtId="164" fontId="20" fillId="12" borderId="0" xfId="0" applyNumberFormat="1" applyFont="1" applyFill="1"/>
    <xf numFmtId="2" fontId="25" fillId="12" borderId="0" xfId="0" applyNumberFormat="1" applyFont="1" applyFill="1"/>
    <xf numFmtId="164" fontId="25" fillId="12" borderId="0" xfId="0" applyNumberFormat="1" applyFont="1" applyFill="1"/>
    <xf numFmtId="164" fontId="28" fillId="12" borderId="0" xfId="0" applyNumberFormat="1" applyFont="1" applyFill="1" applyAlignment="1">
      <alignment vertical="center"/>
    </xf>
    <xf numFmtId="2" fontId="20" fillId="12" borderId="0" xfId="0" applyNumberFormat="1" applyFont="1" applyFill="1" applyAlignment="1">
      <alignment horizontal="center" vertical="center"/>
    </xf>
    <xf numFmtId="0" fontId="20" fillId="12" borderId="0" xfId="0" applyFont="1" applyFill="1" applyAlignment="1">
      <alignment horizontal="center" vertical="center"/>
    </xf>
    <xf numFmtId="166" fontId="26" fillId="12" borderId="0" xfId="1" applyNumberFormat="1" applyFont="1" applyFill="1" applyBorder="1" applyAlignment="1">
      <alignment vertical="top"/>
    </xf>
    <xf numFmtId="164" fontId="26" fillId="12" borderId="0" xfId="0" applyNumberFormat="1" applyFont="1" applyFill="1" applyAlignment="1">
      <alignment horizontal="right" vertical="top"/>
    </xf>
    <xf numFmtId="10" fontId="26" fillId="12" borderId="0" xfId="2" applyNumberFormat="1" applyFont="1" applyFill="1" applyBorder="1" applyAlignment="1">
      <alignment horizontal="right" vertical="top"/>
    </xf>
    <xf numFmtId="164" fontId="26" fillId="12" borderId="0" xfId="0" applyNumberFormat="1" applyFont="1" applyFill="1" applyAlignment="1">
      <alignment vertical="center"/>
    </xf>
    <xf numFmtId="164" fontId="26" fillId="12" borderId="0" xfId="0" applyNumberFormat="1" applyFont="1" applyFill="1" applyAlignment="1">
      <alignment horizontal="right" vertical="center" indent="1"/>
    </xf>
    <xf numFmtId="10" fontId="26" fillId="12" borderId="0" xfId="2" applyNumberFormat="1" applyFont="1" applyFill="1" applyBorder="1" applyAlignment="1">
      <alignment vertical="center"/>
    </xf>
    <xf numFmtId="164" fontId="26" fillId="12" borderId="0" xfId="0" applyNumberFormat="1" applyFont="1" applyFill="1"/>
    <xf numFmtId="10" fontId="26" fillId="12" borderId="0" xfId="2" applyNumberFormat="1" applyFont="1" applyFill="1" applyBorder="1" applyAlignment="1"/>
    <xf numFmtId="164" fontId="26" fillId="12" borderId="0" xfId="0" applyNumberFormat="1" applyFont="1" applyFill="1" applyAlignment="1">
      <alignment horizontal="right" indent="1"/>
    </xf>
    <xf numFmtId="0" fontId="0" fillId="0" borderId="0" xfId="0" pivotButton="1"/>
    <xf numFmtId="14" fontId="0" fillId="0" borderId="0" xfId="0" applyNumberFormat="1" applyAlignment="1">
      <alignment horizontal="left"/>
    </xf>
    <xf numFmtId="0" fontId="0" fillId="0" borderId="0" xfId="0" applyAlignment="1">
      <alignment horizontal="left"/>
    </xf>
    <xf numFmtId="2" fontId="0" fillId="0" borderId="0" xfId="0" pivotButton="1" applyNumberFormat="1"/>
    <xf numFmtId="164" fontId="12" fillId="16" borderId="0" xfId="0" applyNumberFormat="1" applyFont="1" applyFill="1" applyAlignment="1">
      <alignment horizontal="center" vertical="top" wrapText="1"/>
    </xf>
    <xf numFmtId="0" fontId="12" fillId="16" borderId="0" xfId="0" applyFont="1" applyFill="1" applyAlignment="1">
      <alignment horizontal="center" vertical="top" wrapText="1"/>
    </xf>
    <xf numFmtId="0" fontId="12" fillId="16" borderId="0" xfId="0" applyFont="1" applyFill="1" applyAlignment="1">
      <alignment horizontal="center" vertical="top"/>
    </xf>
    <xf numFmtId="164" fontId="16" fillId="16" borderId="6" xfId="0" applyNumberFormat="1" applyFont="1" applyFill="1" applyBorder="1" applyAlignment="1">
      <alignment vertical="center"/>
    </xf>
    <xf numFmtId="164" fontId="14" fillId="16" borderId="6" xfId="0" applyNumberFormat="1" applyFont="1" applyFill="1" applyBorder="1"/>
    <xf numFmtId="164" fontId="15" fillId="16" borderId="6" xfId="2" applyNumberFormat="1" applyFont="1" applyFill="1" applyBorder="1" applyAlignment="1">
      <alignment horizontal="center" vertical="center"/>
    </xf>
    <xf numFmtId="0" fontId="13" fillId="12" borderId="22" xfId="0" applyFont="1" applyFill="1" applyBorder="1"/>
    <xf numFmtId="0" fontId="13" fillId="12" borderId="1" xfId="0" applyFont="1" applyFill="1" applyBorder="1"/>
    <xf numFmtId="0" fontId="13" fillId="12" borderId="29" xfId="0" applyFont="1" applyFill="1" applyBorder="1"/>
    <xf numFmtId="2" fontId="19" fillId="17" borderId="30" xfId="0" applyNumberFormat="1" applyFont="1" applyFill="1" applyBorder="1"/>
    <xf numFmtId="2" fontId="19" fillId="17" borderId="1" xfId="0" applyNumberFormat="1" applyFont="1" applyFill="1" applyBorder="1"/>
    <xf numFmtId="166" fontId="26" fillId="17" borderId="21" xfId="1" applyNumberFormat="1" applyFont="1" applyFill="1" applyBorder="1" applyAlignment="1">
      <alignment vertical="top"/>
    </xf>
    <xf numFmtId="164" fontId="26" fillId="17" borderId="21" xfId="0" applyNumberFormat="1" applyFont="1" applyFill="1" applyBorder="1" applyAlignment="1">
      <alignment horizontal="right" vertical="top"/>
    </xf>
    <xf numFmtId="10" fontId="26" fillId="17" borderId="21" xfId="2" applyNumberFormat="1" applyFont="1" applyFill="1" applyBorder="1" applyAlignment="1">
      <alignment horizontal="right" vertical="top"/>
    </xf>
    <xf numFmtId="164" fontId="26" fillId="17" borderId="21" xfId="0" applyNumberFormat="1" applyFont="1" applyFill="1" applyBorder="1" applyAlignment="1">
      <alignment vertical="center"/>
    </xf>
    <xf numFmtId="164" fontId="26" fillId="17" borderId="21" xfId="0" applyNumberFormat="1" applyFont="1" applyFill="1" applyBorder="1" applyAlignment="1">
      <alignment horizontal="right" vertical="center" indent="1"/>
    </xf>
    <xf numFmtId="10" fontId="26" fillId="17" borderId="21" xfId="2" applyNumberFormat="1" applyFont="1" applyFill="1" applyBorder="1" applyAlignment="1">
      <alignment vertical="center"/>
    </xf>
    <xf numFmtId="2" fontId="19" fillId="17" borderId="31" xfId="0" applyNumberFormat="1" applyFont="1" applyFill="1" applyBorder="1"/>
    <xf numFmtId="2" fontId="19" fillId="17" borderId="25" xfId="0" applyNumberFormat="1" applyFont="1" applyFill="1" applyBorder="1"/>
    <xf numFmtId="166" fontId="26" fillId="17" borderId="20" xfId="1" applyNumberFormat="1" applyFont="1" applyFill="1" applyBorder="1" applyAlignment="1">
      <alignment vertical="top"/>
    </xf>
    <xf numFmtId="164" fontId="26" fillId="17" borderId="20" xfId="0" applyNumberFormat="1" applyFont="1" applyFill="1" applyBorder="1" applyAlignment="1">
      <alignment horizontal="right" vertical="top"/>
    </xf>
    <xf numFmtId="10" fontId="26" fillId="17" borderId="20" xfId="2" applyNumberFormat="1" applyFont="1" applyFill="1" applyBorder="1" applyAlignment="1">
      <alignment horizontal="right" vertical="top"/>
    </xf>
    <xf numFmtId="164" fontId="26" fillId="17" borderId="20" xfId="0" applyNumberFormat="1" applyFont="1" applyFill="1" applyBorder="1" applyAlignment="1">
      <alignment vertical="center"/>
    </xf>
    <xf numFmtId="164" fontId="26" fillId="17" borderId="20" xfId="0" applyNumberFormat="1" applyFont="1" applyFill="1" applyBorder="1" applyAlignment="1">
      <alignment horizontal="right" vertical="center" indent="1"/>
    </xf>
    <xf numFmtId="10" fontId="26" fillId="17" borderId="20" xfId="2" applyNumberFormat="1" applyFont="1" applyFill="1" applyBorder="1" applyAlignment="1">
      <alignment vertical="center"/>
    </xf>
    <xf numFmtId="166" fontId="26" fillId="17" borderId="9" xfId="1" applyNumberFormat="1" applyFont="1" applyFill="1" applyBorder="1" applyAlignment="1">
      <alignment vertical="top"/>
    </xf>
    <xf numFmtId="164" fontId="26" fillId="17" borderId="9" xfId="0" applyNumberFormat="1" applyFont="1" applyFill="1" applyBorder="1" applyAlignment="1">
      <alignment horizontal="right" vertical="top"/>
    </xf>
    <xf numFmtId="10" fontId="26" fillId="17" borderId="9" xfId="2" applyNumberFormat="1" applyFont="1" applyFill="1" applyBorder="1" applyAlignment="1">
      <alignment horizontal="right" vertical="top"/>
    </xf>
    <xf numFmtId="164" fontId="26" fillId="17" borderId="9" xfId="0" applyNumberFormat="1" applyFont="1" applyFill="1" applyBorder="1"/>
    <xf numFmtId="10" fontId="26" fillId="17" borderId="9" xfId="2" applyNumberFormat="1" applyFont="1" applyFill="1" applyBorder="1" applyAlignment="1"/>
    <xf numFmtId="164" fontId="26" fillId="17" borderId="9" xfId="0" applyNumberFormat="1" applyFont="1" applyFill="1" applyBorder="1" applyAlignment="1">
      <alignment horizontal="right" indent="1"/>
    </xf>
    <xf numFmtId="164" fontId="28" fillId="17" borderId="20" xfId="0" applyNumberFormat="1" applyFont="1" applyFill="1" applyBorder="1" applyAlignment="1">
      <alignment vertical="center"/>
    </xf>
    <xf numFmtId="0" fontId="27" fillId="17" borderId="22" xfId="0" applyFont="1" applyFill="1" applyBorder="1"/>
    <xf numFmtId="0" fontId="27" fillId="17" borderId="9" xfId="0" applyFont="1" applyFill="1" applyBorder="1"/>
    <xf numFmtId="0" fontId="13" fillId="2" borderId="0" xfId="0" applyFont="1" applyFill="1"/>
    <xf numFmtId="0" fontId="21" fillId="12" borderId="0" xfId="0" applyFont="1" applyFill="1"/>
    <xf numFmtId="0" fontId="34" fillId="12" borderId="0" xfId="0" applyFont="1" applyFill="1"/>
    <xf numFmtId="164" fontId="35" fillId="17" borderId="20" xfId="0" applyNumberFormat="1" applyFont="1" applyFill="1" applyBorder="1" applyAlignment="1">
      <alignment vertical="center"/>
    </xf>
    <xf numFmtId="0" fontId="36" fillId="0" borderId="0" xfId="0" applyFont="1"/>
    <xf numFmtId="0" fontId="37" fillId="12" borderId="0" xfId="0" applyFont="1" applyFill="1"/>
    <xf numFmtId="164" fontId="15" fillId="16" borderId="0" xfId="0" applyNumberFormat="1" applyFont="1" applyFill="1" applyAlignment="1">
      <alignment horizontal="center" vertical="top" wrapText="1"/>
    </xf>
    <xf numFmtId="164" fontId="15" fillId="16" borderId="6" xfId="0" applyNumberFormat="1" applyFont="1" applyFill="1" applyBorder="1" applyAlignment="1">
      <alignment vertical="center"/>
    </xf>
    <xf numFmtId="164" fontId="15" fillId="16" borderId="6" xfId="0" applyNumberFormat="1" applyFont="1" applyFill="1" applyBorder="1"/>
    <xf numFmtId="0" fontId="38" fillId="2" borderId="0" xfId="0" applyFont="1" applyFill="1"/>
    <xf numFmtId="164" fontId="16" fillId="11" borderId="6" xfId="0" applyNumberFormat="1" applyFont="1" applyFill="1" applyBorder="1" applyAlignment="1">
      <alignment vertical="top"/>
    </xf>
    <xf numFmtId="0" fontId="0" fillId="0" borderId="0" xfId="0" applyAlignment="1">
      <alignment vertical="top"/>
    </xf>
    <xf numFmtId="0" fontId="0" fillId="0" borderId="0" xfId="0" applyAlignment="1">
      <alignment vertical="center"/>
    </xf>
    <xf numFmtId="0" fontId="13" fillId="12" borderId="0" xfId="0" applyFont="1" applyFill="1" applyAlignment="1">
      <alignment vertical="center"/>
    </xf>
    <xf numFmtId="0" fontId="39" fillId="17" borderId="9" xfId="0" applyFont="1" applyFill="1" applyBorder="1" applyAlignment="1">
      <alignment vertical="center"/>
    </xf>
    <xf numFmtId="2" fontId="33" fillId="17" borderId="10" xfId="0" applyNumberFormat="1" applyFont="1" applyFill="1" applyBorder="1" applyAlignment="1">
      <alignment vertical="center"/>
    </xf>
    <xf numFmtId="164" fontId="33" fillId="17" borderId="10" xfId="0" applyNumberFormat="1" applyFont="1" applyFill="1" applyBorder="1" applyAlignment="1">
      <alignment vertical="center"/>
    </xf>
    <xf numFmtId="164" fontId="29" fillId="12" borderId="4" xfId="0" applyNumberFormat="1" applyFont="1" applyFill="1" applyBorder="1" applyAlignment="1">
      <alignment vertical="center"/>
    </xf>
    <xf numFmtId="164" fontId="29" fillId="12" borderId="0" xfId="0" applyNumberFormat="1" applyFont="1" applyFill="1" applyAlignment="1">
      <alignment vertical="center"/>
    </xf>
    <xf numFmtId="164" fontId="29" fillId="12" borderId="28" xfId="0" applyNumberFormat="1" applyFont="1" applyFill="1" applyBorder="1" applyAlignment="1">
      <alignment vertical="center"/>
    </xf>
    <xf numFmtId="0" fontId="40" fillId="0" borderId="0" xfId="0" applyFont="1"/>
    <xf numFmtId="167" fontId="26" fillId="12" borderId="0" xfId="0" applyNumberFormat="1" applyFont="1" applyFill="1" applyAlignment="1">
      <alignment horizontal="right" vertical="center" indent="1"/>
    </xf>
    <xf numFmtId="0" fontId="32" fillId="18" borderId="21" xfId="0" applyFont="1" applyFill="1" applyBorder="1"/>
    <xf numFmtId="164" fontId="32" fillId="18" borderId="21" xfId="0" applyNumberFormat="1" applyFont="1" applyFill="1" applyBorder="1"/>
    <xf numFmtId="0" fontId="32" fillId="18" borderId="20" xfId="0" applyFont="1" applyFill="1" applyBorder="1"/>
    <xf numFmtId="0" fontId="39" fillId="18" borderId="20" xfId="0" applyFont="1" applyFill="1" applyBorder="1"/>
    <xf numFmtId="0" fontId="39" fillId="2" borderId="20" xfId="0" applyFont="1" applyFill="1" applyBorder="1"/>
    <xf numFmtId="164" fontId="32" fillId="2" borderId="20" xfId="0" applyNumberFormat="1" applyFont="1" applyFill="1" applyBorder="1"/>
    <xf numFmtId="0" fontId="32" fillId="2" borderId="20" xfId="0" applyFont="1" applyFill="1" applyBorder="1"/>
    <xf numFmtId="164" fontId="44" fillId="2" borderId="20" xfId="0" applyNumberFormat="1" applyFont="1" applyFill="1" applyBorder="1"/>
    <xf numFmtId="0" fontId="43" fillId="2" borderId="20" xfId="0" applyFont="1" applyFill="1" applyBorder="1"/>
    <xf numFmtId="0" fontId="0" fillId="2" borderId="20" xfId="0" applyFill="1" applyBorder="1"/>
    <xf numFmtId="0" fontId="22" fillId="12" borderId="0" xfId="0" applyFont="1" applyFill="1" applyAlignment="1">
      <alignment horizontal="center" vertical="center"/>
    </xf>
    <xf numFmtId="0" fontId="0" fillId="19" borderId="0" xfId="0" applyFill="1"/>
    <xf numFmtId="0" fontId="0" fillId="4" borderId="0" xfId="0" applyFill="1"/>
    <xf numFmtId="164" fontId="12" fillId="11" borderId="0" xfId="0" applyNumberFormat="1" applyFont="1" applyFill="1" applyAlignment="1">
      <alignment vertical="top" wrapText="1"/>
    </xf>
    <xf numFmtId="164" fontId="12" fillId="20" borderId="6" xfId="0" applyNumberFormat="1" applyFont="1" applyFill="1" applyBorder="1" applyAlignment="1">
      <alignment vertical="center"/>
    </xf>
    <xf numFmtId="164" fontId="46" fillId="20" borderId="6" xfId="0" applyNumberFormat="1" applyFont="1" applyFill="1" applyBorder="1" applyAlignment="1">
      <alignment vertical="center"/>
    </xf>
    <xf numFmtId="0" fontId="39" fillId="20" borderId="20" xfId="0" applyFont="1" applyFill="1" applyBorder="1"/>
    <xf numFmtId="164" fontId="32" fillId="20" borderId="21" xfId="0" applyNumberFormat="1" applyFont="1" applyFill="1" applyBorder="1"/>
    <xf numFmtId="164" fontId="12" fillId="20" borderId="20" xfId="0" applyNumberFormat="1" applyFont="1" applyFill="1" applyBorder="1" applyAlignment="1">
      <alignment vertical="center"/>
    </xf>
    <xf numFmtId="164" fontId="11" fillId="16" borderId="0" xfId="3" applyNumberFormat="1" applyFont="1" applyFill="1" applyAlignment="1">
      <alignment horizontal="center" vertical="top" wrapText="1"/>
    </xf>
    <xf numFmtId="164" fontId="16" fillId="16" borderId="6" xfId="0" applyNumberFormat="1" applyFont="1" applyFill="1" applyBorder="1" applyAlignment="1">
      <alignment horizontal="center" vertical="top"/>
    </xf>
    <xf numFmtId="164" fontId="12" fillId="16" borderId="0" xfId="0" applyNumberFormat="1" applyFont="1" applyFill="1" applyAlignment="1">
      <alignment horizontal="center" vertical="top" wrapText="1"/>
    </xf>
    <xf numFmtId="0" fontId="27" fillId="17" borderId="9" xfId="0" applyFont="1" applyFill="1" applyBorder="1" applyAlignment="1">
      <alignment horizontal="center" vertical="center"/>
    </xf>
    <xf numFmtId="0" fontId="27" fillId="17" borderId="26" xfId="0" applyFont="1" applyFill="1" applyBorder="1" applyAlignment="1">
      <alignment horizontal="center" vertical="center"/>
    </xf>
    <xf numFmtId="0" fontId="19" fillId="12" borderId="11" xfId="0" applyFont="1" applyFill="1" applyBorder="1" applyAlignment="1">
      <alignment horizontal="center"/>
    </xf>
    <xf numFmtId="164" fontId="29" fillId="12" borderId="4" xfId="0" applyNumberFormat="1" applyFont="1" applyFill="1" applyBorder="1" applyAlignment="1">
      <alignment horizontal="center"/>
    </xf>
    <xf numFmtId="164" fontId="29" fillId="12" borderId="0" xfId="0" applyNumberFormat="1" applyFont="1" applyFill="1" applyAlignment="1">
      <alignment horizontal="center"/>
    </xf>
    <xf numFmtId="164" fontId="29" fillId="12" borderId="28" xfId="0" applyNumberFormat="1" applyFont="1" applyFill="1" applyBorder="1" applyAlignment="1">
      <alignment horizontal="center"/>
    </xf>
    <xf numFmtId="0" fontId="30" fillId="12" borderId="3" xfId="0" applyFont="1" applyFill="1" applyBorder="1" applyAlignment="1">
      <alignment horizontal="center" wrapText="1"/>
    </xf>
    <xf numFmtId="0" fontId="30" fillId="12" borderId="2" xfId="0" applyFont="1" applyFill="1" applyBorder="1" applyAlignment="1">
      <alignment horizontal="center" wrapText="1"/>
    </xf>
    <xf numFmtId="0" fontId="30" fillId="12" borderId="27" xfId="0" applyFont="1" applyFill="1" applyBorder="1" applyAlignment="1">
      <alignment horizontal="center" wrapText="1"/>
    </xf>
    <xf numFmtId="0" fontId="30" fillId="12" borderId="4" xfId="0" applyFont="1" applyFill="1" applyBorder="1" applyAlignment="1">
      <alignment horizontal="center" wrapText="1"/>
    </xf>
    <xf numFmtId="0" fontId="30" fillId="12" borderId="0" xfId="0" applyFont="1" applyFill="1" applyAlignment="1">
      <alignment horizontal="center" wrapText="1"/>
    </xf>
    <xf numFmtId="0" fontId="30" fillId="12" borderId="28" xfId="0" applyFont="1" applyFill="1" applyBorder="1" applyAlignment="1">
      <alignment horizontal="center" wrapText="1"/>
    </xf>
    <xf numFmtId="164" fontId="17" fillId="16" borderId="0" xfId="0" applyNumberFormat="1" applyFont="1" applyFill="1" applyAlignment="1">
      <alignment horizontal="center" vertical="top" wrapText="1"/>
    </xf>
    <xf numFmtId="164" fontId="23" fillId="16" borderId="0" xfId="3" applyNumberFormat="1" applyFont="1" applyFill="1" applyAlignment="1">
      <alignment horizontal="center" vertical="top" wrapText="1"/>
    </xf>
    <xf numFmtId="164" fontId="16" fillId="16" borderId="0" xfId="0" applyNumberFormat="1" applyFont="1" applyFill="1" applyAlignment="1">
      <alignment horizontal="center" vertical="center"/>
    </xf>
    <xf numFmtId="0" fontId="1" fillId="13" borderId="0" xfId="0" applyFont="1" applyFill="1" applyAlignment="1">
      <alignment horizontal="left" vertical="center" indent="1"/>
    </xf>
    <xf numFmtId="0" fontId="22" fillId="14" borderId="15" xfId="0" applyFont="1" applyFill="1" applyBorder="1" applyAlignment="1">
      <alignment horizontal="center" vertical="center"/>
    </xf>
    <xf numFmtId="0" fontId="22" fillId="14" borderId="16" xfId="0" applyFont="1" applyFill="1" applyBorder="1" applyAlignment="1">
      <alignment horizontal="center" vertical="center"/>
    </xf>
    <xf numFmtId="0" fontId="22" fillId="14" borderId="14" xfId="0" applyFont="1" applyFill="1" applyBorder="1" applyAlignment="1">
      <alignment horizontal="center" vertical="center"/>
    </xf>
    <xf numFmtId="0" fontId="22" fillId="14" borderId="12" xfId="0" applyFont="1" applyFill="1" applyBorder="1" applyAlignment="1">
      <alignment horizontal="center" vertical="center"/>
    </xf>
    <xf numFmtId="0" fontId="22" fillId="14" borderId="13" xfId="0" applyFont="1" applyFill="1" applyBorder="1" applyAlignment="1">
      <alignment horizontal="center" vertical="center"/>
    </xf>
    <xf numFmtId="164" fontId="15" fillId="16" borderId="0" xfId="0" applyNumberFormat="1" applyFont="1" applyFill="1" applyAlignment="1">
      <alignment horizontal="center" vertical="center"/>
    </xf>
    <xf numFmtId="164" fontId="15" fillId="16" borderId="6" xfId="0" applyNumberFormat="1" applyFont="1" applyFill="1" applyBorder="1" applyAlignment="1">
      <alignment horizontal="center" vertical="top"/>
    </xf>
    <xf numFmtId="164" fontId="42" fillId="18" borderId="32" xfId="0" applyNumberFormat="1" applyFont="1" applyFill="1" applyBorder="1" applyAlignment="1">
      <alignment horizontal="center" vertical="center" wrapText="1"/>
    </xf>
    <xf numFmtId="164" fontId="42" fillId="18" borderId="0" xfId="0" applyNumberFormat="1" applyFont="1" applyFill="1" applyAlignment="1">
      <alignment horizontal="center" vertical="center" wrapText="1"/>
    </xf>
    <xf numFmtId="0" fontId="22" fillId="12" borderId="0" xfId="0" applyFont="1" applyFill="1" applyAlignment="1">
      <alignment horizontal="center" vertical="center"/>
    </xf>
    <xf numFmtId="0" fontId="17" fillId="11" borderId="0" xfId="0" applyFont="1" applyFill="1" applyAlignment="1">
      <alignment horizontal="center" vertical="center" wrapText="1"/>
    </xf>
    <xf numFmtId="0" fontId="17" fillId="11" borderId="6" xfId="0" applyFont="1" applyFill="1" applyBorder="1" applyAlignment="1">
      <alignment horizontal="center" vertical="center" wrapText="1"/>
    </xf>
    <xf numFmtId="0" fontId="19" fillId="12" borderId="0" xfId="0" applyFont="1" applyFill="1" applyAlignment="1">
      <alignment horizontal="center"/>
    </xf>
    <xf numFmtId="0" fontId="13" fillId="12" borderId="0" xfId="0" applyFont="1" applyFill="1" applyAlignment="1">
      <alignment horizontal="center"/>
    </xf>
    <xf numFmtId="0" fontId="21" fillId="12" borderId="0" xfId="0" applyFont="1" applyFill="1" applyAlignment="1">
      <alignment horizontal="center"/>
    </xf>
    <xf numFmtId="0" fontId="1" fillId="12" borderId="0" xfId="0" applyFont="1" applyFill="1" applyAlignment="1">
      <alignment horizontal="left" vertical="center" indent="1"/>
    </xf>
    <xf numFmtId="0" fontId="41" fillId="12" borderId="3" xfId="0" applyFont="1" applyFill="1" applyBorder="1" applyAlignment="1">
      <alignment horizontal="center" wrapText="1"/>
    </xf>
    <xf numFmtId="0" fontId="41" fillId="12" borderId="2" xfId="0" applyFont="1" applyFill="1" applyBorder="1" applyAlignment="1">
      <alignment horizontal="center" wrapText="1"/>
    </xf>
    <xf numFmtId="0" fontId="41" fillId="12" borderId="27" xfId="0" applyFont="1" applyFill="1" applyBorder="1" applyAlignment="1">
      <alignment horizontal="center" wrapText="1"/>
    </xf>
    <xf numFmtId="0" fontId="41" fillId="12" borderId="22" xfId="0" applyFont="1" applyFill="1" applyBorder="1" applyAlignment="1">
      <alignment horizontal="center" wrapText="1"/>
    </xf>
    <xf numFmtId="0" fontId="41" fillId="12" borderId="1" xfId="0" applyFont="1" applyFill="1" applyBorder="1" applyAlignment="1">
      <alignment horizontal="center" wrapText="1"/>
    </xf>
    <xf numFmtId="0" fontId="41" fillId="12" borderId="29" xfId="0" applyFont="1" applyFill="1" applyBorder="1" applyAlignment="1">
      <alignment horizontal="center" wrapText="1"/>
    </xf>
    <xf numFmtId="164" fontId="1" fillId="8" borderId="0" xfId="0" applyNumberFormat="1" applyFont="1" applyFill="1" applyAlignment="1">
      <alignment horizontal="center" vertical="center"/>
    </xf>
    <xf numFmtId="171" fontId="0" fillId="0" borderId="0" xfId="0" applyNumberFormat="1"/>
  </cellXfs>
  <cellStyles count="4">
    <cellStyle name="Currency" xfId="1" builtinId="4"/>
    <cellStyle name="Hyperlink" xfId="3" builtinId="8"/>
    <cellStyle name="Normal" xfId="0" builtinId="0"/>
    <cellStyle name="Percent" xfId="2" builtinId="5"/>
  </cellStyles>
  <dxfs count="143">
    <dxf>
      <font>
        <color rgb="FFFF0000"/>
      </font>
    </dxf>
    <dxf>
      <font>
        <color rgb="FFFF000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00B050"/>
      </font>
    </dxf>
    <dxf>
      <font>
        <color rgb="FFFF0000"/>
      </font>
    </dxf>
    <dxf>
      <font>
        <color rgb="FFFF0000"/>
      </font>
    </dxf>
    <dxf>
      <font>
        <color rgb="FF00B050"/>
      </font>
    </dxf>
    <dxf>
      <font>
        <color rgb="FFFF0000"/>
      </font>
    </dxf>
    <dxf>
      <font>
        <color rgb="FFFF0000"/>
      </font>
    </dxf>
    <dxf>
      <font>
        <color rgb="FF00B05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00B050"/>
      </font>
    </dxf>
    <dxf>
      <font>
        <color rgb="FFFF0000"/>
      </font>
    </dxf>
    <dxf>
      <font>
        <color rgb="FFFF0000"/>
      </font>
    </dxf>
    <dxf>
      <font>
        <color rgb="FF00B05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00B050"/>
      </font>
    </dxf>
    <dxf>
      <font>
        <color rgb="FFFF0000"/>
      </font>
    </dxf>
    <dxf>
      <font>
        <color rgb="FFFF0000"/>
      </font>
    </dxf>
    <dxf>
      <font>
        <color rgb="FF00B050"/>
      </font>
    </dxf>
    <dxf>
      <font>
        <color rgb="FFFF0000"/>
      </font>
    </dxf>
    <dxf>
      <font>
        <color rgb="FFFF0000"/>
      </font>
    </dxf>
    <dxf>
      <font>
        <color rgb="FF00B050"/>
      </font>
    </dxf>
    <dxf>
      <font>
        <color rgb="FFFF0000"/>
      </font>
    </dxf>
    <dxf>
      <font>
        <color rgb="FFFF0000"/>
      </font>
    </dxf>
    <dxf>
      <font>
        <color rgb="FF00B050"/>
      </font>
    </dxf>
    <dxf>
      <font>
        <color rgb="FFFF0000"/>
      </font>
    </dxf>
    <dxf>
      <font>
        <color rgb="FFFF0000"/>
      </font>
    </dxf>
    <dxf>
      <font>
        <color rgb="FF00B050"/>
      </font>
    </dxf>
    <dxf>
      <font>
        <color rgb="FFFF000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FF0000"/>
      </font>
    </dxf>
    <dxf>
      <font>
        <color rgb="FFFF0000"/>
      </font>
    </dxf>
    <dxf>
      <font>
        <color rgb="FF00B050"/>
      </font>
    </dxf>
    <dxf>
      <font>
        <color rgb="FFFF0000"/>
      </font>
    </dxf>
    <dxf>
      <font>
        <color rgb="FFFF0000"/>
      </font>
    </dxf>
    <dxf>
      <font>
        <color rgb="FF00B050"/>
      </font>
    </dxf>
    <dxf>
      <font>
        <color rgb="FFFF0000"/>
      </font>
    </dxf>
    <dxf>
      <font>
        <color rgb="FFFF0000"/>
      </font>
    </dxf>
    <dxf>
      <font>
        <color rgb="FF00B05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64" formatCode="&quot;$&quot;#,##0.00"/>
    </dxf>
    <dxf>
      <numFmt numFmtId="164" formatCode="&quot;$&quot;#,##0.00"/>
    </dxf>
    <dxf>
      <numFmt numFmtId="2" formatCode="0.00"/>
    </dxf>
    <dxf>
      <numFmt numFmtId="2" formatCode="0.00"/>
    </dxf>
    <dxf>
      <numFmt numFmtId="2" formatCode="0.00"/>
    </dxf>
    <dxf>
      <numFmt numFmtId="2" formatCode="0.00"/>
    </dxf>
    <dxf>
      <numFmt numFmtId="164" formatCode="&quot;$&quot;#,##0.00"/>
    </dxf>
    <dxf>
      <numFmt numFmtId="164" formatCode="&quot;$&quot;#,##0.00"/>
    </dxf>
    <dxf>
      <numFmt numFmtId="164" formatCode="&quot;$&quot;#,##0.00"/>
    </dxf>
    <dxf>
      <numFmt numFmtId="164" formatCode="&quot;$&quot;#,##0.00"/>
    </dxf>
    <dxf>
      <font>
        <b val="0"/>
        <i val="0"/>
        <strike val="0"/>
        <condense val="0"/>
        <extend val="0"/>
        <outline val="0"/>
        <shadow val="0"/>
        <u val="none"/>
        <vertAlign val="baseline"/>
        <sz val="11"/>
        <color rgb="FF000000"/>
        <name val="Arial"/>
        <family val="2"/>
        <scheme val="none"/>
      </font>
      <numFmt numFmtId="164" formatCode="&quot;$&quot;#,##0.00"/>
      <fill>
        <patternFill patternType="solid">
          <fgColor indexed="64"/>
          <bgColor theme="0"/>
        </patternFill>
      </fill>
      <alignment horizontal="left" vertical="top" textRotation="0" wrapText="1" relativeIndent="1" justifyLastLine="0" shrinkToFit="0" readingOrder="0"/>
    </dxf>
    <dxf>
      <font>
        <b val="0"/>
        <i val="0"/>
        <strike val="0"/>
        <condense val="0"/>
        <extend val="0"/>
        <outline val="0"/>
        <shadow val="0"/>
        <u val="none"/>
        <vertAlign val="baseline"/>
        <sz val="11"/>
        <color rgb="FF000000"/>
        <name val="Arial"/>
        <family val="2"/>
        <scheme val="none"/>
      </font>
      <fill>
        <patternFill patternType="solid">
          <fgColor indexed="64"/>
          <bgColor theme="0"/>
        </patternFill>
      </fill>
      <alignment horizontal="center" vertical="top" textRotation="0" wrapText="1" indent="0" justifyLastLine="0" shrinkToFit="0" readingOrder="0"/>
    </dxf>
    <dxf>
      <font>
        <b val="0"/>
        <i val="0"/>
        <strike val="0"/>
        <condense val="0"/>
        <extend val="0"/>
        <outline val="0"/>
        <shadow val="0"/>
        <u val="none"/>
        <vertAlign val="baseline"/>
        <sz val="11"/>
        <color rgb="FF000000"/>
        <name val="Arial"/>
        <family val="2"/>
        <scheme val="none"/>
      </font>
      <numFmt numFmtId="164" formatCode="&quot;$&quot;#,##0.00"/>
      <fill>
        <patternFill patternType="solid">
          <fgColor indexed="64"/>
          <bgColor theme="0"/>
        </patternFill>
      </fill>
      <alignment horizontal="center" vertical="top" textRotation="0" wrapText="1" indent="0" justifyLastLine="0" shrinkToFit="0" readingOrder="0"/>
    </dxf>
    <dxf>
      <font>
        <b val="0"/>
        <i val="0"/>
        <strike val="0"/>
        <condense val="0"/>
        <extend val="0"/>
        <outline val="0"/>
        <shadow val="0"/>
        <u val="none"/>
        <vertAlign val="baseline"/>
        <sz val="11"/>
        <color rgb="FF000000"/>
        <name val="Arial"/>
        <family val="2"/>
        <scheme val="none"/>
      </font>
      <numFmt numFmtId="164" formatCode="&quot;$&quot;#,##0.00"/>
      <fill>
        <patternFill patternType="solid">
          <fgColor indexed="64"/>
          <bgColor theme="0"/>
        </patternFill>
      </fill>
      <alignment horizontal="center" vertical="top" textRotation="0" wrapText="1"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theme="0"/>
        </patternFill>
      </fill>
      <alignment horizontal="center" vertical="top" textRotation="0" wrapText="1" indent="0" justifyLastLine="0" shrinkToFit="0" readingOrder="0"/>
    </dxf>
    <dxf>
      <font>
        <b val="0"/>
        <i val="0"/>
        <strike val="0"/>
        <condense val="0"/>
        <extend val="0"/>
        <outline val="0"/>
        <shadow val="0"/>
        <u val="none"/>
        <vertAlign val="baseline"/>
        <sz val="11"/>
        <color rgb="FF000000"/>
        <name val="Arial"/>
        <family val="2"/>
        <scheme val="none"/>
      </font>
      <numFmt numFmtId="0" formatCode="General"/>
      <fill>
        <patternFill patternType="solid">
          <fgColor indexed="64"/>
          <bgColor theme="0"/>
        </patternFill>
      </fill>
      <alignment horizontal="center" vertical="top" textRotation="0" wrapText="1" indent="0" justifyLastLine="0" shrinkToFit="0" readingOrder="0"/>
    </dxf>
    <dxf>
      <font>
        <b val="0"/>
        <i val="0"/>
        <strike val="0"/>
        <condense val="0"/>
        <extend val="0"/>
        <outline val="0"/>
        <shadow val="0"/>
        <u val="none"/>
        <vertAlign val="baseline"/>
        <sz val="11"/>
        <color rgb="FF000000"/>
        <name val="Arial"/>
        <family val="2"/>
        <scheme val="none"/>
      </font>
      <numFmt numFmtId="19" formatCode="d/mm/yyyy"/>
      <fill>
        <patternFill patternType="solid">
          <fgColor indexed="64"/>
          <bgColor theme="0"/>
        </patternFill>
      </fill>
      <alignment horizontal="center" vertical="top" textRotation="0" wrapText="1" indent="0" justifyLastLine="0" shrinkToFit="0" readingOrder="0"/>
    </dxf>
    <dxf>
      <font>
        <b val="0"/>
        <i val="0"/>
        <strike val="0"/>
        <condense val="0"/>
        <extend val="0"/>
        <outline val="0"/>
        <shadow val="0"/>
        <u val="none"/>
        <vertAlign val="baseline"/>
        <sz val="11"/>
        <color rgb="FF000000"/>
        <name val="Arial"/>
        <family val="2"/>
        <scheme val="none"/>
      </font>
      <numFmt numFmtId="0" formatCode="General"/>
      <fill>
        <patternFill patternType="solid">
          <fgColor indexed="64"/>
          <bgColor theme="0"/>
        </patternFill>
      </fill>
      <alignment horizontal="center" vertical="top" textRotation="0" wrapText="1" indent="0" justifyLastLine="0" shrinkToFit="0" readingOrder="0"/>
    </dxf>
    <dxf>
      <border outline="0">
        <top style="medium">
          <color rgb="FFCCCCCC"/>
        </top>
      </border>
    </dxf>
    <dxf>
      <border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1"/>
        <color rgb="FF000000"/>
        <name val="Arial"/>
        <family val="2"/>
        <scheme val="none"/>
      </font>
      <fill>
        <patternFill patternType="solid">
          <fgColor indexed="64"/>
          <bgColor theme="0"/>
        </patternFill>
      </fill>
      <alignment horizontal="center" vertical="top" textRotation="0" wrapText="1" indent="0" justifyLastLine="0" shrinkToFit="0" readingOrder="0"/>
    </dxf>
    <dxf>
      <border outline="0">
        <bottom style="medium">
          <color rgb="FFCCCCCC"/>
        </bottom>
      </border>
    </dxf>
    <dxf>
      <fill>
        <patternFill patternType="solid">
          <fgColor indexed="64"/>
          <bgColor theme="5"/>
        </patternFill>
      </fill>
    </dxf>
  </dxfs>
  <tableStyles count="0" defaultTableStyle="TableStyleMedium2" defaultPivotStyle="PivotStyleLight16"/>
  <colors>
    <mruColors>
      <color rgb="FF171721"/>
      <color rgb="FF232227"/>
      <color rgb="FF868686"/>
      <color rgb="FF2F292D"/>
      <color rgb="FF1E2D31"/>
      <color rgb="FF1E23D1"/>
      <color rgb="FF65CBC1"/>
      <color rgb="FF99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Portfolio Diversity</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Calculations!$BE$1</c:f>
              <c:strCache>
                <c:ptCount val="1"/>
                <c:pt idx="0">
                  <c:v>Value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ECD-4468-8B9B-DA75F575396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ECD-4468-8B9B-DA75F575396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ECD-4468-8B9B-DA75F575396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ECD-4468-8B9B-DA75F575396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ECD-4468-8B9B-DA75F575396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ECD-4468-8B9B-DA75F575396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5ECD-4468-8B9B-DA75F575396E}"/>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Calculations!$BD$2:$BD$8</c:f>
              <c:strCache>
                <c:ptCount val="7"/>
                <c:pt idx="0">
                  <c:v>Computer and electronics</c:v>
                </c:pt>
                <c:pt idx="1">
                  <c:v>Crypto</c:v>
                </c:pt>
                <c:pt idx="2">
                  <c:v>Mining</c:v>
                </c:pt>
                <c:pt idx="3">
                  <c:v>Crypto gaming</c:v>
                </c:pt>
                <c:pt idx="4">
                  <c:v>Food industries</c:v>
                </c:pt>
                <c:pt idx="5">
                  <c:v>Banking</c:v>
                </c:pt>
                <c:pt idx="6">
                  <c:v>Health </c:v>
                </c:pt>
              </c:strCache>
            </c:strRef>
          </c:cat>
          <c:val>
            <c:numRef>
              <c:f>Calculations!$BE$2:$BE$8</c:f>
              <c:numCache>
                <c:formatCode>"$"#,##0.00</c:formatCode>
                <c:ptCount val="7"/>
                <c:pt idx="0">
                  <c:v>7549.6979999999994</c:v>
                </c:pt>
                <c:pt idx="1">
                  <c:v>0</c:v>
                </c:pt>
                <c:pt idx="2">
                  <c:v>1999.97</c:v>
                </c:pt>
                <c:pt idx="3">
                  <c:v>0</c:v>
                </c:pt>
                <c:pt idx="4">
                  <c:v>22624.184999999998</c:v>
                </c:pt>
                <c:pt idx="5">
                  <c:v>1000.8449999999999</c:v>
                </c:pt>
                <c:pt idx="6">
                  <c:v>999.54000000000008</c:v>
                </c:pt>
              </c:numCache>
            </c:numRef>
          </c:val>
          <c:extLst>
            <c:ext xmlns:c16="http://schemas.microsoft.com/office/drawing/2014/chart" uri="{C3380CC4-5D6E-409C-BE32-E72D297353CC}">
              <c16:uniqueId val="{0000000E-5ECD-4468-8B9B-DA75F575396E}"/>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Top 10 Profit/Loss</a:t>
            </a:r>
            <a:r>
              <a:rPr lang="en-US" baseline="0"/>
              <a: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Calculations!$BQ$2</c:f>
              <c:strCache>
                <c:ptCount val="1"/>
                <c:pt idx="0">
                  <c:v>PNL</c:v>
                </c:pt>
              </c:strCache>
            </c:strRef>
          </c:tx>
          <c:spPr>
            <a:solidFill>
              <a:schemeClr val="accent1"/>
            </a:solidFill>
            <a:ln>
              <a:noFill/>
            </a:ln>
            <a:effectLst/>
            <a:sp3d/>
          </c:spPr>
          <c:invertIfNegative val="0"/>
          <c:cat>
            <c:strRef>
              <c:f>Calculations!$BP$3:$BP$12</c:f>
              <c:strCache>
                <c:ptCount val="10"/>
                <c:pt idx="0">
                  <c:v>CCE</c:v>
                </c:pt>
                <c:pt idx="1">
                  <c:v>SHIB</c:v>
                </c:pt>
                <c:pt idx="2">
                  <c:v>ICG</c:v>
                </c:pt>
                <c:pt idx="3">
                  <c:v>ANL</c:v>
                </c:pt>
                <c:pt idx="4">
                  <c:v>MKR</c:v>
                </c:pt>
                <c:pt idx="5">
                  <c:v>RLT</c:v>
                </c:pt>
                <c:pt idx="6">
                  <c:v>VML</c:v>
                </c:pt>
                <c:pt idx="7">
                  <c:v>BUD</c:v>
                </c:pt>
                <c:pt idx="8">
                  <c:v>LAZIO</c:v>
                </c:pt>
                <c:pt idx="9">
                  <c:v>VOXEL</c:v>
                </c:pt>
              </c:strCache>
            </c:strRef>
          </c:cat>
          <c:val>
            <c:numRef>
              <c:f>Calculations!$BQ$3:$BQ$12</c:f>
              <c:numCache>
                <c:formatCode>"$"#,##0.00</c:formatCode>
                <c:ptCount val="10"/>
                <c:pt idx="0">
                  <c:v>4940.1499999999996</c:v>
                </c:pt>
                <c:pt idx="1">
                  <c:v>1608.5585623100005</c:v>
                </c:pt>
                <c:pt idx="2">
                  <c:v>970.05</c:v>
                </c:pt>
                <c:pt idx="3">
                  <c:v>966.75</c:v>
                </c:pt>
                <c:pt idx="4">
                  <c:v>844.89999999999986</c:v>
                </c:pt>
                <c:pt idx="5">
                  <c:v>469.4</c:v>
                </c:pt>
                <c:pt idx="6">
                  <c:v>396.96599999999989</c:v>
                </c:pt>
                <c:pt idx="7">
                  <c:v>196.80825183411727</c:v>
                </c:pt>
                <c:pt idx="8">
                  <c:v>105.76832103446299</c:v>
                </c:pt>
                <c:pt idx="9">
                  <c:v>88.693564193953421</c:v>
                </c:pt>
              </c:numCache>
            </c:numRef>
          </c:val>
          <c:extLst>
            <c:ext xmlns:c16="http://schemas.microsoft.com/office/drawing/2014/chart" uri="{C3380CC4-5D6E-409C-BE32-E72D297353CC}">
              <c16:uniqueId val="{00000000-3F17-4910-B0C2-C84F0317B53B}"/>
            </c:ext>
          </c:extLst>
        </c:ser>
        <c:dLbls>
          <c:showLegendKey val="0"/>
          <c:showVal val="0"/>
          <c:showCatName val="0"/>
          <c:showSerName val="0"/>
          <c:showPercent val="0"/>
          <c:showBubbleSize val="0"/>
        </c:dLbls>
        <c:gapWidth val="150"/>
        <c:shape val="box"/>
        <c:axId val="1539855424"/>
        <c:axId val="1539867488"/>
        <c:axId val="0"/>
      </c:bar3DChart>
      <c:catAx>
        <c:axId val="1539855424"/>
        <c:scaling>
          <c:orientation val="minMax"/>
        </c:scaling>
        <c:delete val="0"/>
        <c:axPos val="b"/>
        <c:numFmt formatCode="General" sourceLinked="1"/>
        <c:majorTickMark val="none"/>
        <c:minorTickMark val="none"/>
        <c:tickLblPos val="low"/>
        <c:spPr>
          <a:noFill/>
          <a:ln>
            <a:noFill/>
          </a:ln>
          <a:effectLst/>
        </c:spPr>
        <c:txPr>
          <a:bodyPr rot="-60000000" spcFirstLastPara="1" vertOverflow="ellipsis" vert="horz" wrap="square" anchor="ctr"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1539867488"/>
        <c:crosses val="autoZero"/>
        <c:auto val="1"/>
        <c:lblAlgn val="ctr"/>
        <c:lblOffset val="100"/>
        <c:noMultiLvlLbl val="0"/>
      </c:catAx>
      <c:valAx>
        <c:axId val="1539867488"/>
        <c:scaling>
          <c:orientation val="minMax"/>
        </c:scaling>
        <c:delete val="0"/>
        <c:axPos val="l"/>
        <c:majorGridlines>
          <c:spPr>
            <a:ln w="9525" cap="flat" cmpd="sng" algn="ctr">
              <a:solidFill>
                <a:schemeClr val="tx1">
                  <a:lumMod val="15000"/>
                  <a:lumOff val="85000"/>
                </a:schemeClr>
              </a:solidFill>
              <a:round/>
            </a:ln>
            <a:effectLst/>
          </c:spPr>
        </c:majorGridlines>
        <c:numFmt formatCode="#,##0.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98554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10 Total Bought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Calculations!$BT$2</c:f>
              <c:strCache>
                <c:ptCount val="1"/>
                <c:pt idx="0">
                  <c:v>buy</c:v>
                </c:pt>
              </c:strCache>
            </c:strRef>
          </c:tx>
          <c:spPr>
            <a:solidFill>
              <a:schemeClr val="accent1"/>
            </a:solidFill>
            <a:ln>
              <a:noFill/>
            </a:ln>
            <a:effectLst/>
            <a:sp3d/>
          </c:spPr>
          <c:invertIfNegative val="0"/>
          <c:cat>
            <c:strRef>
              <c:f>Calculations!$BS$3:$BS$12</c:f>
              <c:strCache>
                <c:ptCount val="10"/>
                <c:pt idx="0">
                  <c:v>AXS</c:v>
                </c:pt>
                <c:pt idx="1">
                  <c:v>XRP</c:v>
                </c:pt>
                <c:pt idx="2">
                  <c:v>BNB</c:v>
                </c:pt>
                <c:pt idx="3">
                  <c:v>ANW</c:v>
                </c:pt>
                <c:pt idx="4">
                  <c:v>BUB</c:v>
                </c:pt>
                <c:pt idx="5">
                  <c:v>BUD</c:v>
                </c:pt>
                <c:pt idx="6">
                  <c:v>SHIB</c:v>
                </c:pt>
                <c:pt idx="7">
                  <c:v>CCE</c:v>
                </c:pt>
                <c:pt idx="8">
                  <c:v>TNT</c:v>
                </c:pt>
                <c:pt idx="9">
                  <c:v>FFF</c:v>
                </c:pt>
              </c:strCache>
            </c:strRef>
          </c:cat>
          <c:val>
            <c:numRef>
              <c:f>Calculations!$BT$3:$BT$12</c:f>
              <c:numCache>
                <c:formatCode>"$"#,##0.00</c:formatCode>
                <c:ptCount val="10"/>
                <c:pt idx="0">
                  <c:v>71544.757321720041</c:v>
                </c:pt>
                <c:pt idx="1">
                  <c:v>43113.435113000014</c:v>
                </c:pt>
                <c:pt idx="2">
                  <c:v>17975.225971036711</c:v>
                </c:pt>
                <c:pt idx="3">
                  <c:v>10000</c:v>
                </c:pt>
                <c:pt idx="4">
                  <c:v>8198.2400000000052</c:v>
                </c:pt>
                <c:pt idx="5">
                  <c:v>5791.8449999999993</c:v>
                </c:pt>
                <c:pt idx="6">
                  <c:v>5470.0684773200001</c:v>
                </c:pt>
                <c:pt idx="7">
                  <c:v>5000</c:v>
                </c:pt>
                <c:pt idx="8">
                  <c:v>4999.88</c:v>
                </c:pt>
                <c:pt idx="9">
                  <c:v>3999.6049999999996</c:v>
                </c:pt>
              </c:numCache>
            </c:numRef>
          </c:val>
          <c:extLst>
            <c:ext xmlns:c16="http://schemas.microsoft.com/office/drawing/2014/chart" uri="{C3380CC4-5D6E-409C-BE32-E72D297353CC}">
              <c16:uniqueId val="{00000000-A2BE-4754-A4D5-5C86E88C29E0}"/>
            </c:ext>
          </c:extLst>
        </c:ser>
        <c:dLbls>
          <c:showLegendKey val="0"/>
          <c:showVal val="0"/>
          <c:showCatName val="0"/>
          <c:showSerName val="0"/>
          <c:showPercent val="0"/>
          <c:showBubbleSize val="0"/>
        </c:dLbls>
        <c:gapWidth val="150"/>
        <c:shape val="box"/>
        <c:axId val="488676928"/>
        <c:axId val="488668608"/>
        <c:axId val="0"/>
      </c:bar3DChart>
      <c:catAx>
        <c:axId val="48867692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668608"/>
        <c:crosses val="autoZero"/>
        <c:auto val="1"/>
        <c:lblAlgn val="ctr"/>
        <c:lblOffset val="100"/>
        <c:noMultiLvlLbl val="0"/>
      </c:catAx>
      <c:valAx>
        <c:axId val="488668608"/>
        <c:scaling>
          <c:orientation val="minMax"/>
        </c:scaling>
        <c:delete val="0"/>
        <c:axPos val="l"/>
        <c:majorGridlines>
          <c:spPr>
            <a:ln w="9525" cap="flat" cmpd="sng" algn="ctr">
              <a:solidFill>
                <a:schemeClr val="tx1">
                  <a:lumMod val="15000"/>
                  <a:lumOff val="85000"/>
                </a:schemeClr>
              </a:solidFill>
              <a:round/>
            </a:ln>
            <a:effectLst/>
          </c:spPr>
        </c:majorGridlines>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6769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10 Sold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Calculations!$BW$2</c:f>
              <c:strCache>
                <c:ptCount val="1"/>
                <c:pt idx="0">
                  <c:v>sell</c:v>
                </c:pt>
              </c:strCache>
            </c:strRef>
          </c:tx>
          <c:spPr>
            <a:solidFill>
              <a:schemeClr val="accent1"/>
            </a:solidFill>
            <a:ln>
              <a:noFill/>
            </a:ln>
            <a:effectLst/>
            <a:sp3d/>
          </c:spPr>
          <c:invertIfNegative val="0"/>
          <c:cat>
            <c:strRef>
              <c:f>Calculations!$BV$3:$BV$12</c:f>
              <c:strCache>
                <c:ptCount val="10"/>
                <c:pt idx="0">
                  <c:v>XRP</c:v>
                </c:pt>
                <c:pt idx="1">
                  <c:v>AXS</c:v>
                </c:pt>
                <c:pt idx="2">
                  <c:v>BNB</c:v>
                </c:pt>
                <c:pt idx="3">
                  <c:v>CCE</c:v>
                </c:pt>
                <c:pt idx="4">
                  <c:v>CCE</c:v>
                </c:pt>
                <c:pt idx="5">
                  <c:v>SHIB</c:v>
                </c:pt>
                <c:pt idx="6">
                  <c:v>BUD</c:v>
                </c:pt>
                <c:pt idx="7">
                  <c:v>BUB</c:v>
                </c:pt>
                <c:pt idx="8">
                  <c:v>ANL</c:v>
                </c:pt>
                <c:pt idx="9">
                  <c:v>TNT</c:v>
                </c:pt>
              </c:strCache>
            </c:strRef>
          </c:cat>
          <c:val>
            <c:numRef>
              <c:f>Calculations!$BW$3:$BW$12</c:f>
              <c:numCache>
                <c:formatCode>"$"#,##0.00</c:formatCode>
                <c:ptCount val="10"/>
                <c:pt idx="0">
                  <c:v>39826.61867939998</c:v>
                </c:pt>
                <c:pt idx="1">
                  <c:v>11809.609803653</c:v>
                </c:pt>
                <c:pt idx="2">
                  <c:v>10413.074510764</c:v>
                </c:pt>
                <c:pt idx="3">
                  <c:v>10000</c:v>
                </c:pt>
                <c:pt idx="4">
                  <c:v>10000</c:v>
                </c:pt>
                <c:pt idx="5">
                  <c:v>7078.6270396300006</c:v>
                </c:pt>
                <c:pt idx="6">
                  <c:v>6123.0650000000005</c:v>
                </c:pt>
                <c:pt idx="7">
                  <c:v>5175.99</c:v>
                </c:pt>
                <c:pt idx="8">
                  <c:v>3000</c:v>
                </c:pt>
                <c:pt idx="9">
                  <c:v>2647.2000000000003</c:v>
                </c:pt>
              </c:numCache>
            </c:numRef>
          </c:val>
          <c:extLst>
            <c:ext xmlns:c16="http://schemas.microsoft.com/office/drawing/2014/chart" uri="{C3380CC4-5D6E-409C-BE32-E72D297353CC}">
              <c16:uniqueId val="{00000000-A76E-42CD-8E1F-14E52BE0325F}"/>
            </c:ext>
          </c:extLst>
        </c:ser>
        <c:dLbls>
          <c:showLegendKey val="0"/>
          <c:showVal val="0"/>
          <c:showCatName val="0"/>
          <c:showSerName val="0"/>
          <c:showPercent val="0"/>
          <c:showBubbleSize val="0"/>
        </c:dLbls>
        <c:gapWidth val="150"/>
        <c:shape val="box"/>
        <c:axId val="234183136"/>
        <c:axId val="234186880"/>
        <c:axId val="0"/>
      </c:bar3DChart>
      <c:catAx>
        <c:axId val="23418313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186880"/>
        <c:crosses val="autoZero"/>
        <c:auto val="1"/>
        <c:lblAlgn val="ctr"/>
        <c:lblOffset val="100"/>
        <c:noMultiLvlLbl val="0"/>
      </c:catAx>
      <c:valAx>
        <c:axId val="234186880"/>
        <c:scaling>
          <c:orientation val="minMax"/>
        </c:scaling>
        <c:delete val="0"/>
        <c:axPos val="l"/>
        <c:majorGridlines>
          <c:spPr>
            <a:ln w="9525" cap="flat" cmpd="sng" algn="ctr">
              <a:solidFill>
                <a:schemeClr val="tx1">
                  <a:lumMod val="15000"/>
                  <a:lumOff val="85000"/>
                </a:schemeClr>
              </a:solidFill>
              <a:round/>
            </a:ln>
            <a:effectLst/>
          </c:spPr>
        </c:majorGridlines>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183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portfolio not connected macro enabled.xlsm]Pivots for dashboard2!PivotTable3</c:name>
    <c:fmtId val="2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Total</a:t>
            </a:r>
            <a:r>
              <a:rPr lang="en-AU" baseline="0"/>
              <a:t> BUY/SELL</a:t>
            </a:r>
            <a:endParaRPr lang="en-AU"/>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'Pivots for dashboard2'!$B$3</c:f>
              <c:strCache>
                <c:ptCount val="1"/>
                <c:pt idx="0">
                  <c:v>Total Purchased Qty</c:v>
                </c:pt>
              </c:strCache>
            </c:strRef>
          </c:tx>
          <c:spPr>
            <a:solidFill>
              <a:schemeClr val="accent1"/>
            </a:solidFill>
            <a:ln>
              <a:noFill/>
            </a:ln>
            <a:effectLst/>
            <a:sp3d/>
          </c:spPr>
          <c:invertIfNegative val="0"/>
          <c:cat>
            <c:strRef>
              <c:f>'Pivots for dashboard2'!$A$4:$A$23</c:f>
              <c:strCache>
                <c:ptCount val="20"/>
                <c:pt idx="0">
                  <c:v>3DP</c:v>
                </c:pt>
                <c:pt idx="1">
                  <c:v>4DX</c:v>
                </c:pt>
                <c:pt idx="2">
                  <c:v>ANL</c:v>
                </c:pt>
                <c:pt idx="3">
                  <c:v>ANW</c:v>
                </c:pt>
                <c:pt idx="4">
                  <c:v>BUB</c:v>
                </c:pt>
                <c:pt idx="5">
                  <c:v>BUD</c:v>
                </c:pt>
                <c:pt idx="6">
                  <c:v>CBA</c:v>
                </c:pt>
                <c:pt idx="7">
                  <c:v>CCE</c:v>
                </c:pt>
                <c:pt idx="8">
                  <c:v>DUG</c:v>
                </c:pt>
                <c:pt idx="9">
                  <c:v>FFF</c:v>
                </c:pt>
                <c:pt idx="10">
                  <c:v>ICG</c:v>
                </c:pt>
                <c:pt idx="11">
                  <c:v>MKR</c:v>
                </c:pt>
                <c:pt idx="12">
                  <c:v>NDQ</c:v>
                </c:pt>
                <c:pt idx="13">
                  <c:v>PYR</c:v>
                </c:pt>
                <c:pt idx="14">
                  <c:v>RLT</c:v>
                </c:pt>
                <c:pt idx="15">
                  <c:v>SHG</c:v>
                </c:pt>
                <c:pt idx="16">
                  <c:v>SYA</c:v>
                </c:pt>
                <c:pt idx="17">
                  <c:v>SYI</c:v>
                </c:pt>
                <c:pt idx="18">
                  <c:v>TNT</c:v>
                </c:pt>
                <c:pt idx="19">
                  <c:v>VML</c:v>
                </c:pt>
              </c:strCache>
            </c:strRef>
          </c:cat>
          <c:val>
            <c:numRef>
              <c:f>'Pivots for dashboard2'!$B$4:$B$23</c:f>
              <c:numCache>
                <c:formatCode>0.00</c:formatCode>
                <c:ptCount val="20"/>
                <c:pt idx="0">
                  <c:v>3846</c:v>
                </c:pt>
                <c:pt idx="1">
                  <c:v>769</c:v>
                </c:pt>
                <c:pt idx="2">
                  <c:v>1500000</c:v>
                </c:pt>
                <c:pt idx="3">
                  <c:v>10000000</c:v>
                </c:pt>
                <c:pt idx="4">
                  <c:v>47149</c:v>
                </c:pt>
                <c:pt idx="5">
                  <c:v>589547</c:v>
                </c:pt>
                <c:pt idx="6">
                  <c:v>26</c:v>
                </c:pt>
                <c:pt idx="7">
                  <c:v>5000000</c:v>
                </c:pt>
                <c:pt idx="8">
                  <c:v>671</c:v>
                </c:pt>
                <c:pt idx="9">
                  <c:v>12334</c:v>
                </c:pt>
                <c:pt idx="10">
                  <c:v>1000000</c:v>
                </c:pt>
                <c:pt idx="11">
                  <c:v>4000</c:v>
                </c:pt>
                <c:pt idx="12">
                  <c:v>70</c:v>
                </c:pt>
                <c:pt idx="13">
                  <c:v>967</c:v>
                </c:pt>
                <c:pt idx="14">
                  <c:v>836</c:v>
                </c:pt>
                <c:pt idx="15">
                  <c:v>1851</c:v>
                </c:pt>
                <c:pt idx="16">
                  <c:v>26315</c:v>
                </c:pt>
                <c:pt idx="17">
                  <c:v>34</c:v>
                </c:pt>
                <c:pt idx="18">
                  <c:v>13236</c:v>
                </c:pt>
                <c:pt idx="19">
                  <c:v>23809</c:v>
                </c:pt>
              </c:numCache>
            </c:numRef>
          </c:val>
          <c:extLst>
            <c:ext xmlns:c16="http://schemas.microsoft.com/office/drawing/2014/chart" uri="{C3380CC4-5D6E-409C-BE32-E72D297353CC}">
              <c16:uniqueId val="{00000000-E679-45EC-BC39-80F63B4921C0}"/>
            </c:ext>
          </c:extLst>
        </c:ser>
        <c:ser>
          <c:idx val="1"/>
          <c:order val="1"/>
          <c:tx>
            <c:strRef>
              <c:f>'Pivots for dashboard2'!$C$3</c:f>
              <c:strCache>
                <c:ptCount val="1"/>
                <c:pt idx="0">
                  <c:v>Total Sold Qty</c:v>
                </c:pt>
              </c:strCache>
            </c:strRef>
          </c:tx>
          <c:spPr>
            <a:solidFill>
              <a:schemeClr val="accent2"/>
            </a:solidFill>
            <a:ln>
              <a:noFill/>
            </a:ln>
            <a:effectLst/>
            <a:sp3d/>
          </c:spPr>
          <c:invertIfNegative val="0"/>
          <c:cat>
            <c:strRef>
              <c:f>'Pivots for dashboard2'!$A$4:$A$23</c:f>
              <c:strCache>
                <c:ptCount val="20"/>
                <c:pt idx="0">
                  <c:v>3DP</c:v>
                </c:pt>
                <c:pt idx="1">
                  <c:v>4DX</c:v>
                </c:pt>
                <c:pt idx="2">
                  <c:v>ANL</c:v>
                </c:pt>
                <c:pt idx="3">
                  <c:v>ANW</c:v>
                </c:pt>
                <c:pt idx="4">
                  <c:v>BUB</c:v>
                </c:pt>
                <c:pt idx="5">
                  <c:v>BUD</c:v>
                </c:pt>
                <c:pt idx="6">
                  <c:v>CBA</c:v>
                </c:pt>
                <c:pt idx="7">
                  <c:v>CCE</c:v>
                </c:pt>
                <c:pt idx="8">
                  <c:v>DUG</c:v>
                </c:pt>
                <c:pt idx="9">
                  <c:v>FFF</c:v>
                </c:pt>
                <c:pt idx="10">
                  <c:v>ICG</c:v>
                </c:pt>
                <c:pt idx="11">
                  <c:v>MKR</c:v>
                </c:pt>
                <c:pt idx="12">
                  <c:v>NDQ</c:v>
                </c:pt>
                <c:pt idx="13">
                  <c:v>PYR</c:v>
                </c:pt>
                <c:pt idx="14">
                  <c:v>RLT</c:v>
                </c:pt>
                <c:pt idx="15">
                  <c:v>SHG</c:v>
                </c:pt>
                <c:pt idx="16">
                  <c:v>SYA</c:v>
                </c:pt>
                <c:pt idx="17">
                  <c:v>SYI</c:v>
                </c:pt>
                <c:pt idx="18">
                  <c:v>TNT</c:v>
                </c:pt>
                <c:pt idx="19">
                  <c:v>VML</c:v>
                </c:pt>
              </c:strCache>
            </c:strRef>
          </c:cat>
          <c:val>
            <c:numRef>
              <c:f>'Pivots for dashboard2'!$C$4:$C$23</c:f>
              <c:numCache>
                <c:formatCode>0.00</c:formatCode>
                <c:ptCount val="20"/>
                <c:pt idx="0">
                  <c:v>0</c:v>
                </c:pt>
                <c:pt idx="1">
                  <c:v>769</c:v>
                </c:pt>
                <c:pt idx="2">
                  <c:v>1000000</c:v>
                </c:pt>
                <c:pt idx="3">
                  <c:v>20000000</c:v>
                </c:pt>
                <c:pt idx="4">
                  <c:v>121524</c:v>
                </c:pt>
                <c:pt idx="5">
                  <c:v>1605272</c:v>
                </c:pt>
                <c:pt idx="6">
                  <c:v>26</c:v>
                </c:pt>
                <c:pt idx="7">
                  <c:v>5000000</c:v>
                </c:pt>
                <c:pt idx="8">
                  <c:v>0</c:v>
                </c:pt>
                <c:pt idx="9">
                  <c:v>24668</c:v>
                </c:pt>
                <c:pt idx="10">
                  <c:v>1000000</c:v>
                </c:pt>
                <c:pt idx="11">
                  <c:v>4000</c:v>
                </c:pt>
                <c:pt idx="12">
                  <c:v>70</c:v>
                </c:pt>
                <c:pt idx="13">
                  <c:v>0</c:v>
                </c:pt>
                <c:pt idx="14">
                  <c:v>836</c:v>
                </c:pt>
                <c:pt idx="15">
                  <c:v>0</c:v>
                </c:pt>
                <c:pt idx="16">
                  <c:v>0</c:v>
                </c:pt>
                <c:pt idx="17">
                  <c:v>34</c:v>
                </c:pt>
                <c:pt idx="18">
                  <c:v>26472</c:v>
                </c:pt>
                <c:pt idx="19">
                  <c:v>23809</c:v>
                </c:pt>
              </c:numCache>
            </c:numRef>
          </c:val>
          <c:extLst>
            <c:ext xmlns:c16="http://schemas.microsoft.com/office/drawing/2014/chart" uri="{C3380CC4-5D6E-409C-BE32-E72D297353CC}">
              <c16:uniqueId val="{00000001-E679-45EC-BC39-80F63B4921C0}"/>
            </c:ext>
          </c:extLst>
        </c:ser>
        <c:dLbls>
          <c:showLegendKey val="0"/>
          <c:showVal val="0"/>
          <c:showCatName val="0"/>
          <c:showSerName val="0"/>
          <c:showPercent val="0"/>
          <c:showBubbleSize val="0"/>
        </c:dLbls>
        <c:gapWidth val="150"/>
        <c:shape val="box"/>
        <c:axId val="633005952"/>
        <c:axId val="633006368"/>
        <c:axId val="0"/>
      </c:bar3DChart>
      <c:catAx>
        <c:axId val="63300595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3006368"/>
        <c:crosses val="autoZero"/>
        <c:auto val="1"/>
        <c:lblAlgn val="ctr"/>
        <c:lblOffset val="100"/>
        <c:noMultiLvlLbl val="0"/>
      </c:catAx>
      <c:valAx>
        <c:axId val="633006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30059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portfolio not connected macro enabled.xlsm]Pivots for dashboard2!PivotTable5</c:name>
    <c:fmtId val="2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Overall Money Spent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circle"/>
          <c:size val="5"/>
          <c:spPr>
            <a:solidFill>
              <a:schemeClr val="accent1"/>
            </a:solidFill>
            <a:ln w="9525">
              <a:solidFill>
                <a:schemeClr val="accent1"/>
              </a:solidFill>
            </a:ln>
            <a:effectLst/>
          </c:spPr>
        </c:marker>
        <c:dLbl>
          <c:idx val="0"/>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
        <c:spPr>
          <a:solidFill>
            <a:schemeClr val="accent1"/>
          </a:solidFill>
          <a:ln>
            <a:noFill/>
          </a:ln>
          <a:effectLst/>
          <a:sp3d/>
        </c:spPr>
      </c:pivotFmt>
      <c:pivotFmt>
        <c:idx val="2"/>
        <c:spPr>
          <a:solidFill>
            <a:schemeClr val="accent1"/>
          </a:solidFill>
          <a:ln>
            <a:noFill/>
          </a:ln>
          <a:effectLst/>
          <a:sp3d/>
        </c:spPr>
      </c:pivotFmt>
      <c:pivotFmt>
        <c:idx val="3"/>
        <c:spPr>
          <a:solidFill>
            <a:schemeClr val="accent1"/>
          </a:solidFill>
          <a:ln>
            <a:noFill/>
          </a:ln>
          <a:effectLst/>
          <a:sp3d/>
        </c:spPr>
      </c:pivotFmt>
      <c:pivotFmt>
        <c:idx val="4"/>
        <c:spPr>
          <a:solidFill>
            <a:schemeClr val="accent1"/>
          </a:solidFill>
          <a:ln>
            <a:noFill/>
          </a:ln>
          <a:effectLst/>
          <a:sp3d/>
        </c:spPr>
        <c:dLbl>
          <c:idx val="0"/>
          <c:layout>
            <c:manualLayout>
              <c:x val="8.3333333333332829E-3"/>
              <c:y val="-0.19444444444444445"/>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5"/>
        <c:spPr>
          <a:solidFill>
            <a:schemeClr val="accent1"/>
          </a:solidFill>
          <a:ln>
            <a:noFill/>
          </a:ln>
          <a:effectLst/>
          <a:sp3d/>
        </c:spPr>
        <c:dLbl>
          <c:idx val="0"/>
          <c:layout>
            <c:manualLayout>
              <c:x val="-1.1111111111111059E-2"/>
              <c:y val="-0.24074074074074064"/>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chemeClr val="accent1"/>
          </a:solidFill>
          <a:ln>
            <a:noFill/>
          </a:ln>
          <a:effectLst/>
          <a:sp3d/>
        </c:spPr>
        <c:dLbl>
          <c:idx val="0"/>
          <c:layout>
            <c:manualLayout>
              <c:x val="-5.5555555555556572E-3"/>
              <c:y val="-0.29166666666666669"/>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7"/>
        <c:spPr>
          <a:solidFill>
            <a:schemeClr val="accent1"/>
          </a:solidFill>
          <a:ln>
            <a:noFill/>
          </a:ln>
          <a:effectLst/>
          <a:sp3d/>
        </c:spPr>
        <c:dLbl>
          <c:idx val="0"/>
          <c:layout>
            <c:manualLayout>
              <c:x val="-2.7777777777778798E-3"/>
              <c:y val="-0.25925925925925936"/>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8"/>
        <c:spPr>
          <a:solidFill>
            <a:schemeClr val="accent1"/>
          </a:solidFill>
          <a:ln>
            <a:noFill/>
          </a:ln>
          <a:effectLst/>
          <a:sp3d/>
        </c:spPr>
        <c:dLbl>
          <c:idx val="0"/>
          <c:layout>
            <c:manualLayout>
              <c:x val="-1.3888888888888888E-2"/>
              <c:y val="-0.23148148148148148"/>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9"/>
        <c:spPr>
          <a:solidFill>
            <a:schemeClr val="accent1"/>
          </a:solidFill>
          <a:ln>
            <a:noFill/>
          </a:ln>
          <a:effectLst/>
          <a:sp3d/>
        </c:spPr>
      </c:pivotFmt>
      <c:pivotFmt>
        <c:idx val="10"/>
        <c:spPr>
          <a:solidFill>
            <a:schemeClr val="accent1"/>
          </a:solidFill>
          <a:ln>
            <a:noFill/>
          </a:ln>
          <a:effectLst/>
          <a:sp3d/>
        </c:spPr>
      </c:pivotFmt>
      <c:pivotFmt>
        <c:idx val="11"/>
        <c:spPr>
          <a:solidFill>
            <a:schemeClr val="accent1"/>
          </a:solidFill>
          <a:ln>
            <a:noFill/>
          </a:ln>
          <a:effectLst/>
          <a:sp3d/>
        </c:spPr>
      </c:pivotFmt>
      <c:pivotFmt>
        <c:idx val="12"/>
        <c:spPr>
          <a:solidFill>
            <a:schemeClr val="accent1"/>
          </a:solidFill>
          <a:ln>
            <a:noFill/>
          </a:ln>
          <a:effectLst/>
          <a:sp3d/>
        </c:spPr>
        <c:dLbl>
          <c:idx val="0"/>
          <c:layout>
            <c:manualLayout>
              <c:x val="-8.3333333333333332E-3"/>
              <c:y val="-0.19444444444444453"/>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3"/>
        <c:spPr>
          <a:solidFill>
            <a:schemeClr val="accent1"/>
          </a:solidFill>
          <a:ln>
            <a:noFill/>
          </a:ln>
          <a:effectLst/>
          <a:sp3d/>
        </c:spPr>
        <c:marker>
          <c:symbol val="none"/>
        </c:marker>
        <c:dLbl>
          <c:idx val="0"/>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4"/>
        <c:spPr>
          <a:solidFill>
            <a:schemeClr val="accent1"/>
          </a:solidFill>
          <a:ln>
            <a:noFill/>
          </a:ln>
          <a:effectLst/>
          <a:sp3d/>
        </c:spPr>
        <c:dLbl>
          <c:idx val="0"/>
          <c:layout>
            <c:manualLayout>
              <c:x val="8.3333333333332829E-3"/>
              <c:y val="-0.19444444444444445"/>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5"/>
        <c:spPr>
          <a:solidFill>
            <a:schemeClr val="accent1"/>
          </a:solidFill>
          <a:ln>
            <a:noFill/>
          </a:ln>
          <a:effectLst/>
          <a:sp3d/>
        </c:spPr>
        <c:dLbl>
          <c:idx val="0"/>
          <c:layout>
            <c:manualLayout>
              <c:x val="-1.1111111111111059E-2"/>
              <c:y val="-0.24074074074074064"/>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6"/>
        <c:spPr>
          <a:solidFill>
            <a:schemeClr val="accent1"/>
          </a:solidFill>
          <a:ln>
            <a:noFill/>
          </a:ln>
          <a:effectLst/>
          <a:sp3d/>
        </c:spPr>
        <c:dLbl>
          <c:idx val="0"/>
          <c:layout>
            <c:manualLayout>
              <c:x val="-5.5555555555556572E-3"/>
              <c:y val="-0.29166666666666669"/>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7"/>
        <c:spPr>
          <a:solidFill>
            <a:schemeClr val="accent1"/>
          </a:solidFill>
          <a:ln>
            <a:noFill/>
          </a:ln>
          <a:effectLst/>
          <a:sp3d/>
        </c:spPr>
        <c:dLbl>
          <c:idx val="0"/>
          <c:layout>
            <c:manualLayout>
              <c:x val="-2.7777777777778798E-3"/>
              <c:y val="-0.25925925925925936"/>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8"/>
        <c:spPr>
          <a:solidFill>
            <a:schemeClr val="accent1"/>
          </a:solidFill>
          <a:ln>
            <a:noFill/>
          </a:ln>
          <a:effectLst/>
          <a:sp3d/>
        </c:spPr>
        <c:dLbl>
          <c:idx val="0"/>
          <c:layout>
            <c:manualLayout>
              <c:x val="-1.3888888888888888E-2"/>
              <c:y val="-0.23148148148148148"/>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9"/>
        <c:spPr>
          <a:solidFill>
            <a:schemeClr val="accent1"/>
          </a:solidFill>
          <a:ln>
            <a:noFill/>
          </a:ln>
          <a:effectLst/>
          <a:sp3d/>
        </c:spPr>
        <c:dLbl>
          <c:idx val="0"/>
          <c:layout>
            <c:manualLayout>
              <c:x val="-8.3333333333333332E-3"/>
              <c:y val="-0.19444444444444453"/>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0"/>
        <c:spPr>
          <a:solidFill>
            <a:schemeClr val="accent1"/>
          </a:solidFill>
          <a:ln>
            <a:noFill/>
          </a:ln>
          <a:effectLst/>
          <a:sp3d/>
        </c:spPr>
        <c:marker>
          <c:symbol val="none"/>
        </c:marker>
        <c:dLbl>
          <c:idx val="0"/>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1"/>
        <c:spPr>
          <a:solidFill>
            <a:schemeClr val="accent1"/>
          </a:solidFill>
          <a:ln>
            <a:noFill/>
          </a:ln>
          <a:effectLst/>
          <a:sp3d/>
        </c:spPr>
        <c:dLbl>
          <c:idx val="0"/>
          <c:layout>
            <c:manualLayout>
              <c:x val="8.3333333333332829E-3"/>
              <c:y val="-0.19444444444444445"/>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2"/>
        <c:spPr>
          <a:solidFill>
            <a:schemeClr val="accent1"/>
          </a:solidFill>
          <a:ln>
            <a:noFill/>
          </a:ln>
          <a:effectLst/>
          <a:sp3d/>
        </c:spPr>
        <c:dLbl>
          <c:idx val="0"/>
          <c:layout>
            <c:manualLayout>
              <c:x val="-1.1111111111111059E-2"/>
              <c:y val="-0.24074074074074064"/>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3"/>
        <c:spPr>
          <a:solidFill>
            <a:schemeClr val="accent1"/>
          </a:solidFill>
          <a:ln>
            <a:noFill/>
          </a:ln>
          <a:effectLst/>
          <a:sp3d/>
        </c:spPr>
        <c:dLbl>
          <c:idx val="0"/>
          <c:layout>
            <c:manualLayout>
              <c:x val="-5.5555555555556572E-3"/>
              <c:y val="-0.29166666666666669"/>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4"/>
        <c:spPr>
          <a:solidFill>
            <a:schemeClr val="accent1"/>
          </a:solidFill>
          <a:ln>
            <a:noFill/>
          </a:ln>
          <a:effectLst/>
          <a:sp3d/>
        </c:spPr>
        <c:dLbl>
          <c:idx val="0"/>
          <c:layout>
            <c:manualLayout>
              <c:x val="-2.7777777777778798E-3"/>
              <c:y val="-0.25925925925925936"/>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5"/>
        <c:spPr>
          <a:solidFill>
            <a:schemeClr val="accent1"/>
          </a:solidFill>
          <a:ln>
            <a:noFill/>
          </a:ln>
          <a:effectLst/>
          <a:sp3d/>
        </c:spPr>
        <c:dLbl>
          <c:idx val="0"/>
          <c:layout>
            <c:manualLayout>
              <c:x val="-1.3888888888888888E-2"/>
              <c:y val="-0.23148148148148148"/>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6"/>
        <c:spPr>
          <a:solidFill>
            <a:schemeClr val="accent1"/>
          </a:solidFill>
          <a:ln>
            <a:noFill/>
          </a:ln>
          <a:effectLst/>
          <a:sp3d/>
        </c:spPr>
        <c:dLbl>
          <c:idx val="0"/>
          <c:layout>
            <c:manualLayout>
              <c:x val="-8.3333333333333332E-3"/>
              <c:y val="-0.19444444444444453"/>
            </c:manualLayout>
          </c:layout>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'Pivots for dashboard2'!$K$6</c:f>
              <c:strCache>
                <c:ptCount val="1"/>
                <c:pt idx="0">
                  <c:v>Total</c:v>
                </c:pt>
              </c:strCache>
            </c:strRef>
          </c:tx>
          <c:spPr>
            <a:solidFill>
              <a:schemeClr val="accent1"/>
            </a:solidFill>
            <a:ln>
              <a:noFill/>
            </a:ln>
            <a:effectLst/>
            <a:sp3d/>
          </c:spPr>
          <c:invertIfNegative val="0"/>
          <c:dPt>
            <c:idx val="3"/>
            <c:invertIfNegative val="0"/>
            <c:bubble3D val="0"/>
            <c:spPr>
              <a:solidFill>
                <a:schemeClr val="accent1"/>
              </a:solidFill>
              <a:ln>
                <a:noFill/>
              </a:ln>
              <a:effectLst/>
              <a:sp3d/>
            </c:spPr>
            <c:extLst>
              <c:ext xmlns:c16="http://schemas.microsoft.com/office/drawing/2014/chart" uri="{C3380CC4-5D6E-409C-BE32-E72D297353CC}">
                <c16:uniqueId val="{00000000-C080-455C-A5FE-F32FC91EBFED}"/>
              </c:ext>
            </c:extLst>
          </c:dPt>
          <c:dPt>
            <c:idx val="4"/>
            <c:invertIfNegative val="0"/>
            <c:bubble3D val="0"/>
            <c:spPr>
              <a:solidFill>
                <a:schemeClr val="accent1"/>
              </a:solidFill>
              <a:ln>
                <a:noFill/>
              </a:ln>
              <a:effectLst/>
              <a:sp3d/>
            </c:spPr>
            <c:extLst>
              <c:ext xmlns:c16="http://schemas.microsoft.com/office/drawing/2014/chart" uri="{C3380CC4-5D6E-409C-BE32-E72D297353CC}">
                <c16:uniqueId val="{00000001-C080-455C-A5FE-F32FC91EBFED}"/>
              </c:ext>
            </c:extLst>
          </c:dPt>
          <c:dPt>
            <c:idx val="5"/>
            <c:invertIfNegative val="0"/>
            <c:bubble3D val="0"/>
            <c:spPr>
              <a:solidFill>
                <a:schemeClr val="accent1"/>
              </a:solidFill>
              <a:ln>
                <a:noFill/>
              </a:ln>
              <a:effectLst/>
              <a:sp3d/>
            </c:spPr>
            <c:extLst>
              <c:ext xmlns:c16="http://schemas.microsoft.com/office/drawing/2014/chart" uri="{C3380CC4-5D6E-409C-BE32-E72D297353CC}">
                <c16:uniqueId val="{00000002-C080-455C-A5FE-F32FC91EBFED}"/>
              </c:ext>
            </c:extLst>
          </c:dPt>
          <c:dPt>
            <c:idx val="6"/>
            <c:invertIfNegative val="0"/>
            <c:bubble3D val="0"/>
            <c:spPr>
              <a:solidFill>
                <a:schemeClr val="accent1"/>
              </a:solidFill>
              <a:ln>
                <a:noFill/>
              </a:ln>
              <a:effectLst/>
              <a:sp3d/>
            </c:spPr>
            <c:extLst>
              <c:ext xmlns:c16="http://schemas.microsoft.com/office/drawing/2014/chart" uri="{C3380CC4-5D6E-409C-BE32-E72D297353CC}">
                <c16:uniqueId val="{00000003-C080-455C-A5FE-F32FC91EBFED}"/>
              </c:ext>
            </c:extLst>
          </c:dPt>
          <c:dPt>
            <c:idx val="7"/>
            <c:invertIfNegative val="0"/>
            <c:bubble3D val="0"/>
            <c:spPr>
              <a:solidFill>
                <a:schemeClr val="accent1"/>
              </a:solidFill>
              <a:ln>
                <a:noFill/>
              </a:ln>
              <a:effectLst/>
              <a:sp3d/>
            </c:spPr>
            <c:extLst>
              <c:ext xmlns:c16="http://schemas.microsoft.com/office/drawing/2014/chart" uri="{C3380CC4-5D6E-409C-BE32-E72D297353CC}">
                <c16:uniqueId val="{00000004-C080-455C-A5FE-F32FC91EBFED}"/>
              </c:ext>
            </c:extLst>
          </c:dPt>
          <c:dPt>
            <c:idx val="11"/>
            <c:invertIfNegative val="0"/>
            <c:bubble3D val="0"/>
            <c:spPr>
              <a:solidFill>
                <a:schemeClr val="accent1"/>
              </a:solidFill>
              <a:ln>
                <a:noFill/>
              </a:ln>
              <a:effectLst/>
              <a:sp3d/>
            </c:spPr>
            <c:extLst>
              <c:ext xmlns:c16="http://schemas.microsoft.com/office/drawing/2014/chart" uri="{C3380CC4-5D6E-409C-BE32-E72D297353CC}">
                <c16:uniqueId val="{00000005-C080-455C-A5FE-F32FC91EBFED}"/>
              </c:ext>
            </c:extLst>
          </c:dPt>
          <c:dLbls>
            <c:dLbl>
              <c:idx val="3"/>
              <c:layout>
                <c:manualLayout>
                  <c:x val="8.3333333333332829E-3"/>
                  <c:y val="-0.1944444444444444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080-455C-A5FE-F32FC91EBFED}"/>
                </c:ext>
              </c:extLst>
            </c:dLbl>
            <c:dLbl>
              <c:idx val="4"/>
              <c:layout>
                <c:manualLayout>
                  <c:x val="-1.1111111111111059E-2"/>
                  <c:y val="-0.2407407407407406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080-455C-A5FE-F32FC91EBFED}"/>
                </c:ext>
              </c:extLst>
            </c:dLbl>
            <c:dLbl>
              <c:idx val="5"/>
              <c:layout>
                <c:manualLayout>
                  <c:x val="-5.5555555555556572E-3"/>
                  <c:y val="-0.2916666666666666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080-455C-A5FE-F32FC91EBFED}"/>
                </c:ext>
              </c:extLst>
            </c:dLbl>
            <c:dLbl>
              <c:idx val="6"/>
              <c:layout>
                <c:manualLayout>
                  <c:x val="-2.7777777777778798E-3"/>
                  <c:y val="-0.2592592592592593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080-455C-A5FE-F32FC91EBFED}"/>
                </c:ext>
              </c:extLst>
            </c:dLbl>
            <c:dLbl>
              <c:idx val="7"/>
              <c:layout>
                <c:manualLayout>
                  <c:x val="-1.3888888888888888E-2"/>
                  <c:y val="-0.2314814814814814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080-455C-A5FE-F32FC91EBFED}"/>
                </c:ext>
              </c:extLst>
            </c:dLbl>
            <c:dLbl>
              <c:idx val="11"/>
              <c:layout>
                <c:manualLayout>
                  <c:x val="-8.3333333333333332E-3"/>
                  <c:y val="-0.1944444444444445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080-455C-A5FE-F32FC91EBFED}"/>
                </c:ext>
              </c:extLst>
            </c:dLbl>
            <c:spPr>
              <a:noFill/>
              <a:ln>
                <a:noFill/>
              </a:ln>
              <a:effectLst>
                <a:glow rad="12700">
                  <a:schemeClr val="accent1">
                    <a:alpha val="40000"/>
                  </a:schemeClr>
                </a:glow>
              </a:effectLst>
            </c:spPr>
            <c:txPr>
              <a:bodyPr rot="-5400000" spcFirstLastPara="1" vertOverflow="overflow" horzOverflow="overflow" vert="horz" wrap="square" lIns="38100" tIns="19050" rIns="38100" bIns="18000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'Pivots for dashboard2'!$J$7:$J$18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 for dashboard2'!$K$7:$K$18</c:f>
              <c:numCache>
                <c:formatCode>"$"#,##0.00</c:formatCode>
                <c:ptCount val="12"/>
                <c:pt idx="0">
                  <c:v>10798.05</c:v>
                </c:pt>
                <c:pt idx="1">
                  <c:v>11022.795999999998</c:v>
                </c:pt>
                <c:pt idx="2">
                  <c:v>6079.7739999999994</c:v>
                </c:pt>
                <c:pt idx="3">
                  <c:v>2967.75</c:v>
                </c:pt>
                <c:pt idx="4">
                  <c:v>956.34</c:v>
                </c:pt>
                <c:pt idx="5">
                  <c:v>489.96</c:v>
                </c:pt>
                <c:pt idx="6">
                  <c:v>1000</c:v>
                </c:pt>
                <c:pt idx="7">
                  <c:v>4999.28</c:v>
                </c:pt>
                <c:pt idx="8">
                  <c:v>24559.701000000001</c:v>
                </c:pt>
                <c:pt idx="9">
                  <c:v>13260.537</c:v>
                </c:pt>
                <c:pt idx="10">
                  <c:v>5993.4000000000005</c:v>
                </c:pt>
                <c:pt idx="11">
                  <c:v>1966.80484</c:v>
                </c:pt>
              </c:numCache>
            </c:numRef>
          </c:val>
          <c:extLst>
            <c:ext xmlns:c16="http://schemas.microsoft.com/office/drawing/2014/chart" uri="{C3380CC4-5D6E-409C-BE32-E72D297353CC}">
              <c16:uniqueId val="{00000000-8598-47C4-85CA-577442262E06}"/>
            </c:ext>
          </c:extLst>
        </c:ser>
        <c:dLbls>
          <c:showLegendKey val="0"/>
          <c:showVal val="1"/>
          <c:showCatName val="0"/>
          <c:showSerName val="0"/>
          <c:showPercent val="0"/>
          <c:showBubbleSize val="0"/>
        </c:dLbls>
        <c:gapWidth val="150"/>
        <c:shape val="box"/>
        <c:axId val="658135104"/>
        <c:axId val="658123872"/>
        <c:axId val="0"/>
      </c:bar3DChart>
      <c:catAx>
        <c:axId val="6581351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123872"/>
        <c:crosses val="autoZero"/>
        <c:auto val="1"/>
        <c:lblAlgn val="ctr"/>
        <c:lblOffset val="100"/>
        <c:noMultiLvlLbl val="0"/>
      </c:catAx>
      <c:valAx>
        <c:axId val="6581238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1351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portfolio not connected macro enabled.xlsm]Pivots for dashboard2!PivotTable6</c:name>
    <c:fmtId val="2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Current Total</a:t>
            </a:r>
            <a:r>
              <a:rPr lang="en-US" baseline="0"/>
              <a:t> Holdings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'Pivots for dashboard2'!$G$6</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 for dashboard2'!$F$7:$F$18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 for dashboard2'!$G$7:$G$18</c:f>
              <c:numCache>
                <c:formatCode>"$"#,##0.00</c:formatCode>
                <c:ptCount val="12"/>
                <c:pt idx="0">
                  <c:v>4999.91</c:v>
                </c:pt>
                <c:pt idx="1">
                  <c:v>7074.8980000000001</c:v>
                </c:pt>
                <c:pt idx="2">
                  <c:v>4610</c:v>
                </c:pt>
                <c:pt idx="3">
                  <c:v>999.75</c:v>
                </c:pt>
                <c:pt idx="4">
                  <c:v>956.34</c:v>
                </c:pt>
                <c:pt idx="5">
                  <c:v>0</c:v>
                </c:pt>
                <c:pt idx="6">
                  <c:v>0</c:v>
                </c:pt>
                <c:pt idx="7">
                  <c:v>1999.78</c:v>
                </c:pt>
                <c:pt idx="8">
                  <c:v>4540.4800000000005</c:v>
                </c:pt>
                <c:pt idx="9">
                  <c:v>4999.5999999999995</c:v>
                </c:pt>
                <c:pt idx="10">
                  <c:v>3993.4800000000005</c:v>
                </c:pt>
                <c:pt idx="11">
                  <c:v>0</c:v>
                </c:pt>
              </c:numCache>
            </c:numRef>
          </c:val>
          <c:extLst>
            <c:ext xmlns:c16="http://schemas.microsoft.com/office/drawing/2014/chart" uri="{C3380CC4-5D6E-409C-BE32-E72D297353CC}">
              <c16:uniqueId val="{00000000-C78C-424B-925D-7EF5DFEF92CA}"/>
            </c:ext>
          </c:extLst>
        </c:ser>
        <c:dLbls>
          <c:showLegendKey val="0"/>
          <c:showVal val="0"/>
          <c:showCatName val="0"/>
          <c:showSerName val="0"/>
          <c:showPercent val="0"/>
          <c:showBubbleSize val="0"/>
        </c:dLbls>
        <c:gapWidth val="150"/>
        <c:shape val="box"/>
        <c:axId val="408765360"/>
        <c:axId val="408767024"/>
        <c:axId val="0"/>
      </c:bar3DChart>
      <c:catAx>
        <c:axId val="40876536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67024"/>
        <c:crosses val="autoZero"/>
        <c:auto val="1"/>
        <c:lblAlgn val="ctr"/>
        <c:lblOffset val="100"/>
        <c:noMultiLvlLbl val="0"/>
      </c:catAx>
      <c:valAx>
        <c:axId val="4087670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65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portfolio not connected macro enabled.xlsm]Pivots for dashboard2!PivotTable9</c:name>
    <c:fmtId val="3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'Pivots for dashboard2'!$N$6</c:f>
              <c:strCache>
                <c:ptCount val="1"/>
                <c:pt idx="0">
                  <c:v>Total</c:v>
                </c:pt>
              </c:strCache>
            </c:strRef>
          </c:tx>
          <c:spPr>
            <a:solidFill>
              <a:schemeClr val="accent1"/>
            </a:solidFill>
            <a:ln>
              <a:noFill/>
            </a:ln>
            <a:effectLst/>
            <a:sp3d/>
          </c:spPr>
          <c:invertIfNegative val="0"/>
          <c:cat>
            <c:strRef>
              <c:f>'Pivots for dashboard2'!$M$7:$M$11</c:f>
              <c:strCache>
                <c:ptCount val="5"/>
                <c:pt idx="0">
                  <c:v>2018</c:v>
                </c:pt>
                <c:pt idx="1">
                  <c:v>2019</c:v>
                </c:pt>
                <c:pt idx="2">
                  <c:v>2020</c:v>
                </c:pt>
                <c:pt idx="3">
                  <c:v>2021</c:v>
                </c:pt>
                <c:pt idx="4">
                  <c:v>2022</c:v>
                </c:pt>
              </c:strCache>
            </c:strRef>
          </c:cat>
          <c:val>
            <c:numRef>
              <c:f>'Pivots for dashboard2'!$N$7:$N$11</c:f>
              <c:numCache>
                <c:formatCode>"$"#,##0.00</c:formatCode>
                <c:ptCount val="5"/>
                <c:pt idx="0">
                  <c:v>1970.8</c:v>
                </c:pt>
                <c:pt idx="1">
                  <c:v>7308.8929999999991</c:v>
                </c:pt>
                <c:pt idx="2">
                  <c:v>48749.773840000002</c:v>
                </c:pt>
                <c:pt idx="3">
                  <c:v>24064.928</c:v>
                </c:pt>
                <c:pt idx="4">
                  <c:v>1999.9979999999998</c:v>
                </c:pt>
              </c:numCache>
            </c:numRef>
          </c:val>
          <c:extLst>
            <c:ext xmlns:c16="http://schemas.microsoft.com/office/drawing/2014/chart" uri="{C3380CC4-5D6E-409C-BE32-E72D297353CC}">
              <c16:uniqueId val="{00000000-5E4C-4B2B-BBB0-9FA7122871D7}"/>
            </c:ext>
          </c:extLst>
        </c:ser>
        <c:dLbls>
          <c:showLegendKey val="0"/>
          <c:showVal val="0"/>
          <c:showCatName val="0"/>
          <c:showSerName val="0"/>
          <c:showPercent val="0"/>
          <c:showBubbleSize val="0"/>
        </c:dLbls>
        <c:gapWidth val="150"/>
        <c:shape val="box"/>
        <c:axId val="607513120"/>
        <c:axId val="607523520"/>
        <c:axId val="0"/>
      </c:bar3DChart>
      <c:catAx>
        <c:axId val="6075131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7523520"/>
        <c:crosses val="autoZero"/>
        <c:auto val="1"/>
        <c:lblAlgn val="ctr"/>
        <c:lblOffset val="100"/>
        <c:noMultiLvlLbl val="0"/>
      </c:catAx>
      <c:valAx>
        <c:axId val="607523520"/>
        <c:scaling>
          <c:orientation val="minMax"/>
        </c:scaling>
        <c:delete val="0"/>
        <c:axPos val="l"/>
        <c:majorGridlines>
          <c:spPr>
            <a:ln w="9525" cap="flat" cmpd="sng" algn="ctr">
              <a:solidFill>
                <a:schemeClr val="tx1">
                  <a:lumMod val="15000"/>
                  <a:lumOff val="85000"/>
                </a:schemeClr>
              </a:solidFill>
              <a:round/>
            </a:ln>
            <a:effectLst/>
          </c:spPr>
        </c:majorGridlines>
        <c:numFmt formatCode="#,##0.0,\ &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75131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Calculations!$AW$3" max="24" min="1" page="10"/>
</file>

<file path=xl/ctrlProps/ctrlProp2.xml><?xml version="1.0" encoding="utf-8"?>
<formControlPr xmlns="http://schemas.microsoft.com/office/spreadsheetml/2009/9/main" objectType="Radio" firstButton="1" fmlaLink="Calculations!$AW$2"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checked="Checked" firstButton="1" fmlaLink="Calculations!$BC$1"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Radio" firstButton="1"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7</xdr:row>
          <xdr:rowOff>38100</xdr:rowOff>
        </xdr:from>
        <xdr:to>
          <xdr:col>4</xdr:col>
          <xdr:colOff>752475</xdr:colOff>
          <xdr:row>7</xdr:row>
          <xdr:rowOff>257175</xdr:rowOff>
        </xdr:to>
        <xdr:sp macro="" textlink="">
          <xdr:nvSpPr>
            <xdr:cNvPr id="3074" name="Option 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solidFill>
                <a:srgbClr val="82ACD0"/>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DayTrade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466725</xdr:colOff>
          <xdr:row>9</xdr:row>
          <xdr:rowOff>0</xdr:rowOff>
        </xdr:from>
        <xdr:to>
          <xdr:col>1</xdr:col>
          <xdr:colOff>647700</xdr:colOff>
          <xdr:row>18</xdr:row>
          <xdr:rowOff>200025</xdr:rowOff>
        </xdr:to>
        <xdr:sp macro="" textlink="">
          <xdr:nvSpPr>
            <xdr:cNvPr id="3078" name="Scroll Bar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38100</xdr:rowOff>
        </xdr:from>
        <xdr:to>
          <xdr:col>5</xdr:col>
          <xdr:colOff>752475</xdr:colOff>
          <xdr:row>7</xdr:row>
          <xdr:rowOff>247650</xdr:rowOff>
        </xdr:to>
        <xdr:sp macro="" textlink="">
          <xdr:nvSpPr>
            <xdr:cNvPr id="3079" name="Option Button 7"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w="9525">
              <a:solidFill>
                <a:srgbClr val="82ACD0"/>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Lng Term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38100</xdr:rowOff>
        </xdr:from>
        <xdr:to>
          <xdr:col>6</xdr:col>
          <xdr:colOff>752475</xdr:colOff>
          <xdr:row>7</xdr:row>
          <xdr:rowOff>247650</xdr:rowOff>
        </xdr:to>
        <xdr:sp macro="" textlink="">
          <xdr:nvSpPr>
            <xdr:cNvPr id="3081" name="Option Button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solidFill>
                <a:srgbClr val="82ACD0"/>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Overall</a:t>
              </a:r>
            </a:p>
          </xdr:txBody>
        </xdr:sp>
        <xdr:clientData/>
      </xdr:twoCellAnchor>
    </mc:Choice>
    <mc:Fallback/>
  </mc:AlternateContent>
  <xdr:twoCellAnchor>
    <xdr:from>
      <xdr:col>1</xdr:col>
      <xdr:colOff>467560</xdr:colOff>
      <xdr:row>7</xdr:row>
      <xdr:rowOff>212912</xdr:rowOff>
    </xdr:from>
    <xdr:to>
      <xdr:col>1</xdr:col>
      <xdr:colOff>647560</xdr:colOff>
      <xdr:row>9</xdr:row>
      <xdr:rowOff>0</xdr:rowOff>
    </xdr:to>
    <xdr:sp macro="" textlink="">
      <xdr:nvSpPr>
        <xdr:cNvPr id="26" name="Isosceles Triangle 25">
          <a:extLst>
            <a:ext uri="{FF2B5EF4-FFF2-40B4-BE49-F238E27FC236}">
              <a16:creationId xmlns:a16="http://schemas.microsoft.com/office/drawing/2014/main" id="{00000000-0008-0000-0000-00001A000000}"/>
            </a:ext>
          </a:extLst>
        </xdr:cNvPr>
        <xdr:cNvSpPr/>
      </xdr:nvSpPr>
      <xdr:spPr>
        <a:xfrm>
          <a:off x="714089" y="1624853"/>
          <a:ext cx="180000" cy="257735"/>
        </a:xfrm>
        <a:prstGeom prst="triangle">
          <a:avLst/>
        </a:prstGeom>
        <a:solidFill>
          <a:schemeClr val="accent4"/>
        </a:soli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AU" sz="1100"/>
        </a:p>
      </xdr:txBody>
    </xdr:sp>
    <xdr:clientData/>
  </xdr:twoCellAnchor>
  <xdr:twoCellAnchor>
    <xdr:from>
      <xdr:col>1</xdr:col>
      <xdr:colOff>467560</xdr:colOff>
      <xdr:row>19</xdr:row>
      <xdr:rowOff>11206</xdr:rowOff>
    </xdr:from>
    <xdr:to>
      <xdr:col>1</xdr:col>
      <xdr:colOff>647560</xdr:colOff>
      <xdr:row>20</xdr:row>
      <xdr:rowOff>44823</xdr:rowOff>
    </xdr:to>
    <xdr:sp macro="" textlink="">
      <xdr:nvSpPr>
        <xdr:cNvPr id="27" name="Isosceles Triangle 26">
          <a:extLst>
            <a:ext uri="{FF2B5EF4-FFF2-40B4-BE49-F238E27FC236}">
              <a16:creationId xmlns:a16="http://schemas.microsoft.com/office/drawing/2014/main" id="{00000000-0008-0000-0000-00001B000000}"/>
            </a:ext>
          </a:extLst>
        </xdr:cNvPr>
        <xdr:cNvSpPr/>
      </xdr:nvSpPr>
      <xdr:spPr>
        <a:xfrm rot="10800000">
          <a:off x="714089" y="3910853"/>
          <a:ext cx="180000" cy="257735"/>
        </a:xfrm>
        <a:prstGeom prst="triangle">
          <a:avLst/>
        </a:prstGeom>
        <a:solidFill>
          <a:schemeClr val="accent4"/>
        </a:soli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AU" sz="1100"/>
        </a:p>
      </xdr:txBody>
    </xdr:sp>
    <xdr:clientData/>
  </xdr:twoCellAnchor>
  <xdr:twoCellAnchor>
    <xdr:from>
      <xdr:col>12</xdr:col>
      <xdr:colOff>1058333</xdr:colOff>
      <xdr:row>21</xdr:row>
      <xdr:rowOff>54783</xdr:rowOff>
    </xdr:from>
    <xdr:to>
      <xdr:col>17</xdr:col>
      <xdr:colOff>46068</xdr:colOff>
      <xdr:row>43</xdr:row>
      <xdr:rowOff>169334</xdr:rowOff>
    </xdr:to>
    <xdr:graphicFrame macro="">
      <xdr:nvGraphicFramePr>
        <xdr:cNvPr id="33" name="Chart 32">
          <a:extLst>
            <a:ext uri="{FF2B5EF4-FFF2-40B4-BE49-F238E27FC236}">
              <a16:creationId xmlns:a16="http://schemas.microsoft.com/office/drawing/2014/main" id="{00000000-0008-0000-00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13</xdr:col>
          <xdr:colOff>0</xdr:colOff>
          <xdr:row>6</xdr:row>
          <xdr:rowOff>0</xdr:rowOff>
        </xdr:from>
        <xdr:to>
          <xdr:col>16</xdr:col>
          <xdr:colOff>1238250</xdr:colOff>
          <xdr:row>8</xdr:row>
          <xdr:rowOff>0</xdr:rowOff>
        </xdr:to>
        <xdr:sp macro="" textlink="">
          <xdr:nvSpPr>
            <xdr:cNvPr id="3082" name="Group Box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647700</xdr:colOff>
          <xdr:row>6</xdr:row>
          <xdr:rowOff>209550</xdr:rowOff>
        </xdr:from>
        <xdr:to>
          <xdr:col>16</xdr:col>
          <xdr:colOff>971550</xdr:colOff>
          <xdr:row>7</xdr:row>
          <xdr:rowOff>19050</xdr:rowOff>
        </xdr:to>
        <xdr:sp macro="" textlink="">
          <xdr:nvSpPr>
            <xdr:cNvPr id="3084" name="Option Button 12" hidden="1">
              <a:extLst>
                <a:ext uri="{63B3BB69-23CF-44E3-9099-C40C66FF867C}">
                  <a14:compatExt spid="_x0000_s3084"/>
                </a:ext>
                <a:ext uri="{FF2B5EF4-FFF2-40B4-BE49-F238E27FC236}">
                  <a16:creationId xmlns:a16="http://schemas.microsoft.com/office/drawing/2014/main" id="{00000000-0008-0000-0000-00000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Networth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647700</xdr:colOff>
          <xdr:row>6</xdr:row>
          <xdr:rowOff>209550</xdr:rowOff>
        </xdr:from>
        <xdr:to>
          <xdr:col>14</xdr:col>
          <xdr:colOff>685800</xdr:colOff>
          <xdr:row>7</xdr:row>
          <xdr:rowOff>19050</xdr:rowOff>
        </xdr:to>
        <xdr:sp macro="" textlink="">
          <xdr:nvSpPr>
            <xdr:cNvPr id="3086" name="Option Button 14"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Investment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0</xdr:row>
          <xdr:rowOff>0</xdr:rowOff>
        </xdr:from>
        <xdr:to>
          <xdr:col>6</xdr:col>
          <xdr:colOff>295275</xdr:colOff>
          <xdr:row>2</xdr:row>
          <xdr:rowOff>361950</xdr:rowOff>
        </xdr:to>
        <xdr:sp macro="" textlink="">
          <xdr:nvSpPr>
            <xdr:cNvPr id="3090" name="Button 18" hidden="1">
              <a:extLst>
                <a:ext uri="{63B3BB69-23CF-44E3-9099-C40C66FF867C}">
                  <a14:compatExt spid="_x0000_s3090"/>
                </a:ext>
                <a:ext uri="{FF2B5EF4-FFF2-40B4-BE49-F238E27FC236}">
                  <a16:creationId xmlns:a16="http://schemas.microsoft.com/office/drawing/2014/main" id="{00000000-0008-0000-0000-0000120C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AU" sz="2400" b="0" i="0" u="none" strike="noStrike" baseline="0">
                  <a:solidFill>
                    <a:srgbClr val="FFCC00"/>
                  </a:solidFill>
                  <a:latin typeface="Calibri"/>
                  <a:ea typeface="Calibri"/>
                  <a:cs typeface="Calibri"/>
                </a:rPr>
                <a:t>Personal Stock Portfolio Dahsboard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685800</xdr:colOff>
          <xdr:row>0</xdr:row>
          <xdr:rowOff>9525</xdr:rowOff>
        </xdr:from>
        <xdr:to>
          <xdr:col>17</xdr:col>
          <xdr:colOff>28575</xdr:colOff>
          <xdr:row>2</xdr:row>
          <xdr:rowOff>371475</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000-0000130C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AU" sz="2400" b="0" i="0" u="none" strike="noStrike" baseline="0">
                  <a:solidFill>
                    <a:srgbClr val="FFCC00"/>
                  </a:solidFill>
                  <a:latin typeface="Calibri"/>
                  <a:ea typeface="Calibri"/>
                  <a:cs typeface="Calibri"/>
                </a:rPr>
                <a:t>Check Current Holding Perfomance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0</xdr:row>
          <xdr:rowOff>28575</xdr:rowOff>
        </xdr:from>
        <xdr:to>
          <xdr:col>11</xdr:col>
          <xdr:colOff>1019175</xdr:colOff>
          <xdr:row>2</xdr:row>
          <xdr:rowOff>352425</xdr:rowOff>
        </xdr:to>
        <xdr:sp macro="" textlink="">
          <xdr:nvSpPr>
            <xdr:cNvPr id="3093" name="Button 21" hidden="1">
              <a:extLst>
                <a:ext uri="{63B3BB69-23CF-44E3-9099-C40C66FF867C}">
                  <a14:compatExt spid="_x0000_s3093"/>
                </a:ext>
                <a:ext uri="{FF2B5EF4-FFF2-40B4-BE49-F238E27FC236}">
                  <a16:creationId xmlns:a16="http://schemas.microsoft.com/office/drawing/2014/main" id="{00000000-0008-0000-0000-0000150C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AU" sz="2400" b="0" i="0" u="none" strike="noStrike" baseline="0">
                  <a:solidFill>
                    <a:srgbClr val="FFCC00"/>
                  </a:solidFill>
                  <a:latin typeface="Calibri"/>
                  <a:ea typeface="Calibri"/>
                  <a:cs typeface="Calibri"/>
                </a:rPr>
                <a:t>Personal Stock Portfolio By Date</a:t>
              </a:r>
            </a:p>
          </xdr:txBody>
        </xdr:sp>
        <xdr:clientData fPrintsWithSheet="0"/>
      </xdr:twoCellAnchor>
    </mc:Choice>
    <mc:Fallback/>
  </mc:AlternateContent>
  <xdr:twoCellAnchor>
    <xdr:from>
      <xdr:col>7</xdr:col>
      <xdr:colOff>186268</xdr:colOff>
      <xdr:row>6</xdr:row>
      <xdr:rowOff>21167</xdr:rowOff>
    </xdr:from>
    <xdr:to>
      <xdr:col>12</xdr:col>
      <xdr:colOff>931333</xdr:colOff>
      <xdr:row>20</xdr:row>
      <xdr:rowOff>13758</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277812</xdr:colOff>
      <xdr:row>21</xdr:row>
      <xdr:rowOff>87840</xdr:rowOff>
    </xdr:from>
    <xdr:to>
      <xdr:col>7</xdr:col>
      <xdr:colOff>95250</xdr:colOff>
      <xdr:row>43</xdr:row>
      <xdr:rowOff>201083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290512</xdr:colOff>
      <xdr:row>21</xdr:row>
      <xdr:rowOff>66675</xdr:rowOff>
    </xdr:from>
    <xdr:to>
      <xdr:col>12</xdr:col>
      <xdr:colOff>941917</xdr:colOff>
      <xdr:row>43</xdr:row>
      <xdr:rowOff>179917</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0</xdr:row>
          <xdr:rowOff>9525</xdr:rowOff>
        </xdr:from>
        <xdr:to>
          <xdr:col>6</xdr:col>
          <xdr:colOff>209550</xdr:colOff>
          <xdr:row>3</xdr:row>
          <xdr:rowOff>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AU" sz="2400" b="0" i="0" u="none" strike="noStrike" baseline="0">
                  <a:solidFill>
                    <a:srgbClr val="FFCC00"/>
                  </a:solidFill>
                  <a:latin typeface="Calibri"/>
                  <a:ea typeface="Calibri"/>
                  <a:cs typeface="Calibri"/>
                </a:rPr>
                <a:t>Personal Stock Portfolio Dahsboard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0</xdr:row>
          <xdr:rowOff>0</xdr:rowOff>
        </xdr:from>
        <xdr:to>
          <xdr:col>11</xdr:col>
          <xdr:colOff>1028700</xdr:colOff>
          <xdr:row>3</xdr:row>
          <xdr:rowOff>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100-0000052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AU" sz="2400" b="0" i="0" u="none" strike="noStrike" baseline="0">
                  <a:solidFill>
                    <a:srgbClr val="FFCC00"/>
                  </a:solidFill>
                  <a:latin typeface="Calibri"/>
                  <a:ea typeface="Calibri"/>
                  <a:cs typeface="Calibri"/>
                </a:rPr>
                <a:t>Personal Stock Portfolio By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1285875</xdr:colOff>
          <xdr:row>0</xdr:row>
          <xdr:rowOff>0</xdr:rowOff>
        </xdr:from>
        <xdr:to>
          <xdr:col>16</xdr:col>
          <xdr:colOff>1400175</xdr:colOff>
          <xdr:row>3</xdr:row>
          <xdr:rowOff>38100</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100-0000082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AU" sz="2400" b="0" i="0" u="none" strike="noStrike" baseline="0">
                  <a:solidFill>
                    <a:srgbClr val="FFCC00"/>
                  </a:solidFill>
                  <a:latin typeface="Calibri"/>
                  <a:ea typeface="Calibri"/>
                  <a:cs typeface="Calibri"/>
                </a:rPr>
                <a:t>Check Current Holding Perfomance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13</xdr:col>
      <xdr:colOff>12561</xdr:colOff>
      <xdr:row>6</xdr:row>
      <xdr:rowOff>3646</xdr:rowOff>
    </xdr:from>
    <xdr:to>
      <xdr:col>14</xdr:col>
      <xdr:colOff>18999</xdr:colOff>
      <xdr:row>20</xdr:row>
      <xdr:rowOff>224414</xdr:rowOff>
    </xdr:to>
    <mc:AlternateContent xmlns:mc="http://schemas.openxmlformats.org/markup-compatibility/2006" xmlns:a14="http://schemas.microsoft.com/office/drawing/2010/main">
      <mc:Choice Requires="a14">
        <xdr:graphicFrame macro="">
          <xdr:nvGraphicFramePr>
            <xdr:cNvPr id="8" name="Order Date 1">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microsoft.com/office/drawing/2010/slicer">
              <sle:slicer xmlns:sle="http://schemas.microsoft.com/office/drawing/2010/slicer" name="Order Date 1"/>
            </a:graphicData>
          </a:graphic>
        </xdr:graphicFrame>
      </mc:Choice>
      <mc:Fallback xmlns="">
        <xdr:sp macro="" textlink="">
          <xdr:nvSpPr>
            <xdr:cNvPr id="0" name=""/>
            <xdr:cNvSpPr>
              <a:spLocks noTextEdit="1"/>
            </xdr:cNvSpPr>
          </xdr:nvSpPr>
          <xdr:spPr>
            <a:xfrm>
              <a:off x="13490436" y="1594321"/>
              <a:ext cx="1530438" cy="3697393"/>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107463</xdr:colOff>
      <xdr:row>6</xdr:row>
      <xdr:rowOff>84642</xdr:rowOff>
    </xdr:from>
    <xdr:to>
      <xdr:col>8</xdr:col>
      <xdr:colOff>54429</xdr:colOff>
      <xdr:row>24</xdr:row>
      <xdr:rowOff>13606</xdr:rowOff>
    </xdr:to>
    <xdr:graphicFrame macro="">
      <xdr:nvGraphicFramePr>
        <xdr:cNvPr id="10" name="Chart 9">
          <a:extLst>
            <a:ext uri="{FF2B5EF4-FFF2-40B4-BE49-F238E27FC236}">
              <a16:creationId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26516</xdr:colOff>
      <xdr:row>24</xdr:row>
      <xdr:rowOff>95250</xdr:rowOff>
    </xdr:from>
    <xdr:to>
      <xdr:col>8</xdr:col>
      <xdr:colOff>40822</xdr:colOff>
      <xdr:row>42</xdr:row>
      <xdr:rowOff>163285</xdr:rowOff>
    </xdr:to>
    <xdr:graphicFrame macro="">
      <xdr:nvGraphicFramePr>
        <xdr:cNvPr id="12" name="Chart 11">
          <a:extLst>
            <a:ext uri="{FF2B5EF4-FFF2-40B4-BE49-F238E27FC236}">
              <a16:creationId xmlns:a16="http://schemas.microsoft.com/office/drawing/2014/main" id="{00000000-0008-0000-02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122466</xdr:colOff>
      <xdr:row>6</xdr:row>
      <xdr:rowOff>81643</xdr:rowOff>
    </xdr:from>
    <xdr:to>
      <xdr:col>12</xdr:col>
      <xdr:colOff>1051413</xdr:colOff>
      <xdr:row>24</xdr:row>
      <xdr:rowOff>40822</xdr:rowOff>
    </xdr:to>
    <xdr:graphicFrame macro="">
      <xdr:nvGraphicFramePr>
        <xdr:cNvPr id="13" name="Chart 12">
          <a:extLst>
            <a:ext uri="{FF2B5EF4-FFF2-40B4-BE49-F238E27FC236}">
              <a16:creationId xmlns:a16="http://schemas.microsoft.com/office/drawing/2014/main" id="{00000000-0008-0000-0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122465</xdr:colOff>
      <xdr:row>24</xdr:row>
      <xdr:rowOff>95250</xdr:rowOff>
    </xdr:from>
    <xdr:to>
      <xdr:col>12</xdr:col>
      <xdr:colOff>1061358</xdr:colOff>
      <xdr:row>42</xdr:row>
      <xdr:rowOff>168387</xdr:rowOff>
    </xdr:to>
    <xdr:graphicFrame macro="">
      <xdr:nvGraphicFramePr>
        <xdr:cNvPr id="14" name="Chart 13">
          <a:extLst>
            <a:ext uri="{FF2B5EF4-FFF2-40B4-BE49-F238E27FC236}">
              <a16:creationId xmlns:a16="http://schemas.microsoft.com/office/drawing/2014/main" id="{00000000-0008-0000-02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209550</xdr:colOff>
          <xdr:row>0</xdr:row>
          <xdr:rowOff>9525</xdr:rowOff>
        </xdr:from>
        <xdr:to>
          <xdr:col>6</xdr:col>
          <xdr:colOff>733425</xdr:colOff>
          <xdr:row>2</xdr:row>
          <xdr:rowOff>238125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AU" sz="2400" b="0" i="0" u="none" strike="noStrike" baseline="0">
                  <a:solidFill>
                    <a:srgbClr val="FFCC00"/>
                  </a:solidFill>
                  <a:latin typeface="Calibri"/>
                  <a:ea typeface="Calibri"/>
                  <a:cs typeface="Calibri"/>
                </a:rPr>
                <a:t>Personal Stock Portfolio Dahsboard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742950</xdr:colOff>
          <xdr:row>0</xdr:row>
          <xdr:rowOff>0</xdr:rowOff>
        </xdr:from>
        <xdr:to>
          <xdr:col>12</xdr:col>
          <xdr:colOff>295275</xdr:colOff>
          <xdr:row>2</xdr:row>
          <xdr:rowOff>238125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AU" sz="2400" b="0" i="0" u="none" strike="noStrike" baseline="0">
                  <a:solidFill>
                    <a:srgbClr val="FFCC00"/>
                  </a:solidFill>
                  <a:latin typeface="Calibri"/>
                  <a:ea typeface="Calibri"/>
                  <a:cs typeface="Calibri"/>
                </a:rPr>
                <a:t>Personal Stock Portfolio By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457200</xdr:colOff>
          <xdr:row>0</xdr:row>
          <xdr:rowOff>0</xdr:rowOff>
        </xdr:from>
        <xdr:to>
          <xdr:col>17</xdr:col>
          <xdr:colOff>1285875</xdr:colOff>
          <xdr:row>2</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AU" sz="2400" b="0" i="0" u="none" strike="noStrike" baseline="0">
                  <a:solidFill>
                    <a:srgbClr val="FFCC00"/>
                  </a:solidFill>
                  <a:latin typeface="Calibri"/>
                  <a:ea typeface="Calibri"/>
                  <a:cs typeface="Calibri"/>
                </a:rPr>
                <a:t>Check Current Holding Perfomance</a:t>
              </a:r>
            </a:p>
          </xdr:txBody>
        </xdr:sp>
        <xdr:clientData fPrintsWithSheet="0"/>
      </xdr:twoCellAnchor>
    </mc:Choice>
    <mc:Fallback/>
  </mc:AlternateContent>
  <xdr:twoCellAnchor editAs="oneCell">
    <xdr:from>
      <xdr:col>13</xdr:col>
      <xdr:colOff>19050</xdr:colOff>
      <xdr:row>20</xdr:row>
      <xdr:rowOff>209551</xdr:rowOff>
    </xdr:from>
    <xdr:to>
      <xdr:col>14</xdr:col>
      <xdr:colOff>9525</xdr:colOff>
      <xdr:row>29</xdr:row>
      <xdr:rowOff>152401</xdr:rowOff>
    </xdr:to>
    <mc:AlternateContent xmlns:mc="http://schemas.openxmlformats.org/markup-compatibility/2006">
      <mc:Choice xmlns:a14="http://schemas.microsoft.com/office/drawing/2010/main" Requires="a14">
        <xdr:graphicFrame macro="">
          <xdr:nvGraphicFramePr>
            <xdr:cNvPr id="2" name="Years">
              <a:extLst>
                <a:ext uri="{FF2B5EF4-FFF2-40B4-BE49-F238E27FC236}">
                  <a16:creationId xmlns:a16="http://schemas.microsoft.com/office/drawing/2014/main" id="{5C08E5DB-961A-49F3-B699-87F89B93440A}"/>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dr:sp macro="" textlink="">
          <xdr:nvSpPr>
            <xdr:cNvPr id="0" name=""/>
            <xdr:cNvSpPr>
              <a:spLocks noTextEdit="1"/>
            </xdr:cNvSpPr>
          </xdr:nvSpPr>
          <xdr:spPr>
            <a:xfrm>
              <a:off x="13496925" y="5276851"/>
              <a:ext cx="1514475" cy="18669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13</xdr:col>
          <xdr:colOff>219075</xdr:colOff>
          <xdr:row>30</xdr:row>
          <xdr:rowOff>114300</xdr:rowOff>
        </xdr:from>
        <xdr:to>
          <xdr:col>17</xdr:col>
          <xdr:colOff>1247775</xdr:colOff>
          <xdr:row>40</xdr:row>
          <xdr:rowOff>95250</xdr:rowOff>
        </xdr:to>
        <xdr:sp macro="" textlink="">
          <xdr:nvSpPr>
            <xdr:cNvPr id="4100" name="Group Box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390525</xdr:colOff>
          <xdr:row>31</xdr:row>
          <xdr:rowOff>76200</xdr:rowOff>
        </xdr:from>
        <xdr:to>
          <xdr:col>14</xdr:col>
          <xdr:colOff>171450</xdr:colOff>
          <xdr:row>33</xdr:row>
          <xdr:rowOff>95250</xdr:rowOff>
        </xdr:to>
        <xdr:sp macro="" textlink="">
          <xdr:nvSpPr>
            <xdr:cNvPr id="4101" name="Option 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1000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400050</xdr:colOff>
          <xdr:row>32</xdr:row>
          <xdr:rowOff>142875</xdr:rowOff>
        </xdr:from>
        <xdr:to>
          <xdr:col>14</xdr:col>
          <xdr:colOff>180975</xdr:colOff>
          <xdr:row>34</xdr:row>
          <xdr:rowOff>161925</xdr:rowOff>
        </xdr:to>
        <xdr:sp macro="" textlink="">
          <xdr:nvSpPr>
            <xdr:cNvPr id="4102" name="Option Button 6" hidden="1">
              <a:extLst>
                <a:ext uri="{63B3BB69-23CF-44E3-9099-C40C66FF867C}">
                  <a14:compatExt spid="_x0000_s4102"/>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5000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390525</xdr:colOff>
          <xdr:row>34</xdr:row>
          <xdr:rowOff>9525</xdr:rowOff>
        </xdr:from>
        <xdr:to>
          <xdr:col>14</xdr:col>
          <xdr:colOff>171450</xdr:colOff>
          <xdr:row>36</xdr:row>
          <xdr:rowOff>28575</xdr:rowOff>
        </xdr:to>
        <xdr:sp macro="" textlink="">
          <xdr:nvSpPr>
            <xdr:cNvPr id="4103" name="Option Button 7" hidden="1">
              <a:extLst>
                <a:ext uri="{63B3BB69-23CF-44E3-9099-C40C66FF867C}">
                  <a14:compatExt spid="_x0000_s4103"/>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10000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390525</xdr:colOff>
          <xdr:row>35</xdr:row>
          <xdr:rowOff>114300</xdr:rowOff>
        </xdr:from>
        <xdr:to>
          <xdr:col>14</xdr:col>
          <xdr:colOff>171450</xdr:colOff>
          <xdr:row>37</xdr:row>
          <xdr:rowOff>133350</xdr:rowOff>
        </xdr:to>
        <xdr:sp macro="" textlink="">
          <xdr:nvSpPr>
            <xdr:cNvPr id="4104" name="Option Button 8" hidden="1">
              <a:extLst>
                <a:ext uri="{63B3BB69-23CF-44E3-9099-C40C66FF867C}">
                  <a14:compatExt spid="_x0000_s4104"/>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20000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381000</xdr:colOff>
          <xdr:row>37</xdr:row>
          <xdr:rowOff>38100</xdr:rowOff>
        </xdr:from>
        <xdr:to>
          <xdr:col>14</xdr:col>
          <xdr:colOff>161925</xdr:colOff>
          <xdr:row>39</xdr:row>
          <xdr:rowOff>57150</xdr:rowOff>
        </xdr:to>
        <xdr:sp macro="" textlink="">
          <xdr:nvSpPr>
            <xdr:cNvPr id="4105" name="Option Button 9" hidden="1">
              <a:extLst>
                <a:ext uri="{63B3BB69-23CF-44E3-9099-C40C66FF867C}">
                  <a14:compatExt spid="_x0000_s4105"/>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50000</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457200</xdr:colOff>
      <xdr:row>1</xdr:row>
      <xdr:rowOff>19050</xdr:rowOff>
    </xdr:from>
    <xdr:to>
      <xdr:col>27</xdr:col>
      <xdr:colOff>237600</xdr:colOff>
      <xdr:row>46</xdr:row>
      <xdr:rowOff>104550</xdr:rowOff>
    </xdr:to>
    <xdr:sp macro="" textlink="">
      <xdr:nvSpPr>
        <xdr:cNvPr id="2" name="Rectangle: Rounded Corners 1">
          <a:extLst>
            <a:ext uri="{FF2B5EF4-FFF2-40B4-BE49-F238E27FC236}">
              <a16:creationId xmlns:a16="http://schemas.microsoft.com/office/drawing/2014/main" id="{00000000-0008-0000-0500-000002000000}"/>
            </a:ext>
          </a:extLst>
        </xdr:cNvPr>
        <xdr:cNvSpPr/>
      </xdr:nvSpPr>
      <xdr:spPr>
        <a:xfrm>
          <a:off x="457200" y="209550"/>
          <a:ext cx="16239600" cy="8658000"/>
        </a:xfrm>
        <a:prstGeom prst="roundRect">
          <a:avLst/>
        </a:prstGeom>
        <a:solidFill>
          <a:srgbClr val="65CBC1"/>
        </a:soli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0</xdr:col>
      <xdr:colOff>542364</xdr:colOff>
      <xdr:row>0</xdr:row>
      <xdr:rowOff>168089</xdr:rowOff>
    </xdr:from>
    <xdr:to>
      <xdr:col>27</xdr:col>
      <xdr:colOff>322764</xdr:colOff>
      <xdr:row>46</xdr:row>
      <xdr:rowOff>63089</xdr:rowOff>
    </xdr:to>
    <xdr:sp macro="" textlink="">
      <xdr:nvSpPr>
        <xdr:cNvPr id="3" name="Rectangle: Rounded Corners 2">
          <a:extLst>
            <a:ext uri="{FF2B5EF4-FFF2-40B4-BE49-F238E27FC236}">
              <a16:creationId xmlns:a16="http://schemas.microsoft.com/office/drawing/2014/main" id="{00000000-0008-0000-0500-000003000000}"/>
            </a:ext>
          </a:extLst>
        </xdr:cNvPr>
        <xdr:cNvSpPr/>
      </xdr:nvSpPr>
      <xdr:spPr>
        <a:xfrm>
          <a:off x="542364" y="168089"/>
          <a:ext cx="16118576" cy="8658000"/>
        </a:xfrm>
        <a:prstGeom prst="roundRect">
          <a:avLst/>
        </a:prstGeom>
        <a:gradFill flip="none" rotWithShape="1">
          <a:gsLst>
            <a:gs pos="94000">
              <a:srgbClr val="2F292D">
                <a:lumMod val="99000"/>
                <a:alpha val="95000"/>
              </a:srgbClr>
            </a:gs>
            <a:gs pos="0">
              <a:srgbClr val="232227"/>
            </a:gs>
            <a:gs pos="27000">
              <a:schemeClr val="accent5">
                <a:lumMod val="45000"/>
                <a:lumOff val="55000"/>
              </a:schemeClr>
            </a:gs>
            <a:gs pos="70000">
              <a:srgbClr val="2F292D"/>
            </a:gs>
          </a:gsLst>
          <a:lin ang="2700000" scaled="0"/>
          <a:tileRect/>
        </a:gra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latin typeface="Arial" panose="020B0604020202020204" pitchFamily="34" charset="0"/>
            <a:cs typeface="Arial" panose="020B0604020202020204" pitchFamily="34" charset="0"/>
          </a:endParaRPr>
        </a:p>
      </xdr:txBody>
    </xdr:sp>
    <xdr:clientData/>
  </xdr:twoCellAnchor>
  <xdr:twoCellAnchor>
    <xdr:from>
      <xdr:col>24</xdr:col>
      <xdr:colOff>105335</xdr:colOff>
      <xdr:row>9</xdr:row>
      <xdr:rowOff>81802</xdr:rowOff>
    </xdr:from>
    <xdr:to>
      <xdr:col>27</xdr:col>
      <xdr:colOff>12904</xdr:colOff>
      <xdr:row>12</xdr:row>
      <xdr:rowOff>114945</xdr:rowOff>
    </xdr:to>
    <xdr:sp macro="" textlink="">
      <xdr:nvSpPr>
        <xdr:cNvPr id="15373" name="Freeform: Shape 15372">
          <a:extLst>
            <a:ext uri="{FF2B5EF4-FFF2-40B4-BE49-F238E27FC236}">
              <a16:creationId xmlns:a16="http://schemas.microsoft.com/office/drawing/2014/main" id="{00000000-0008-0000-0500-00000D3C0000}"/>
            </a:ext>
          </a:extLst>
        </xdr:cNvPr>
        <xdr:cNvSpPr/>
      </xdr:nvSpPr>
      <xdr:spPr>
        <a:xfrm rot="570767">
          <a:off x="14628159" y="1796302"/>
          <a:ext cx="1722921" cy="604643"/>
        </a:xfrm>
        <a:custGeom>
          <a:avLst/>
          <a:gdLst>
            <a:gd name="connsiteX0" fmla="*/ 0 w 1722921"/>
            <a:gd name="connsiteY0" fmla="*/ 0 h 604643"/>
            <a:gd name="connsiteX1" fmla="*/ 1689877 w 1722921"/>
            <a:gd name="connsiteY1" fmla="*/ 0 h 604643"/>
            <a:gd name="connsiteX2" fmla="*/ 1720480 w 1722921"/>
            <a:gd name="connsiteY2" fmla="*/ 182628 h 604643"/>
            <a:gd name="connsiteX3" fmla="*/ 1576347 w 1722921"/>
            <a:gd name="connsiteY3" fmla="*/ 384790 h 604643"/>
            <a:gd name="connsiteX4" fmla="*/ 278922 w 1722921"/>
            <a:gd name="connsiteY4" fmla="*/ 602202 h 604643"/>
            <a:gd name="connsiteX5" fmla="*/ 76759 w 1722921"/>
            <a:gd name="connsiteY5" fmla="*/ 458069 h 604643"/>
            <a:gd name="connsiteX6" fmla="*/ 0 w 1722921"/>
            <a:gd name="connsiteY6" fmla="*/ 0 h 60464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722921" h="604643">
              <a:moveTo>
                <a:pt x="0" y="0"/>
              </a:moveTo>
              <a:lnTo>
                <a:pt x="1689877" y="0"/>
              </a:lnTo>
              <a:lnTo>
                <a:pt x="1720480" y="182628"/>
              </a:lnTo>
              <a:cubicBezTo>
                <a:pt x="1736504" y="278254"/>
                <a:pt x="1671973" y="368766"/>
                <a:pt x="1576347" y="384790"/>
              </a:cubicBezTo>
              <a:lnTo>
                <a:pt x="278922" y="602202"/>
              </a:lnTo>
              <a:cubicBezTo>
                <a:pt x="183295" y="618227"/>
                <a:pt x="92784" y="553696"/>
                <a:pt x="76759" y="458069"/>
              </a:cubicBezTo>
              <a:lnTo>
                <a:pt x="0" y="0"/>
              </a:lnTo>
              <a:close/>
            </a:path>
          </a:pathLst>
        </a:custGeom>
        <a:gradFill flip="none" rotWithShape="1">
          <a:gsLst>
            <a:gs pos="100000">
              <a:srgbClr val="00B050"/>
            </a:gs>
            <a:gs pos="37000">
              <a:srgbClr val="7030A0"/>
            </a:gs>
            <a:gs pos="66000">
              <a:schemeClr val="accent1">
                <a:lumMod val="75000"/>
                <a:alpha val="24000"/>
              </a:schemeClr>
            </a:gs>
            <a:gs pos="100000">
              <a:srgbClr val="00B050"/>
            </a:gs>
          </a:gsLst>
          <a:lin ang="2700000" scaled="1"/>
          <a:tileRect/>
        </a:gra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AU" sz="1100"/>
        </a:p>
      </xdr:txBody>
    </xdr:sp>
    <xdr:clientData/>
  </xdr:twoCellAnchor>
  <xdr:twoCellAnchor>
    <xdr:from>
      <xdr:col>7</xdr:col>
      <xdr:colOff>262216</xdr:colOff>
      <xdr:row>9</xdr:row>
      <xdr:rowOff>74683</xdr:rowOff>
    </xdr:from>
    <xdr:to>
      <xdr:col>10</xdr:col>
      <xdr:colOff>169785</xdr:colOff>
      <xdr:row>12</xdr:row>
      <xdr:rowOff>107826</xdr:rowOff>
    </xdr:to>
    <xdr:sp macro="" textlink="">
      <xdr:nvSpPr>
        <xdr:cNvPr id="40" name="Freeform: Shape 39">
          <a:extLst>
            <a:ext uri="{FF2B5EF4-FFF2-40B4-BE49-F238E27FC236}">
              <a16:creationId xmlns:a16="http://schemas.microsoft.com/office/drawing/2014/main" id="{00000000-0008-0000-0500-000028000000}"/>
            </a:ext>
          </a:extLst>
        </xdr:cNvPr>
        <xdr:cNvSpPr/>
      </xdr:nvSpPr>
      <xdr:spPr>
        <a:xfrm rot="570767">
          <a:off x="4498040" y="1789183"/>
          <a:ext cx="1722921" cy="604643"/>
        </a:xfrm>
        <a:custGeom>
          <a:avLst/>
          <a:gdLst>
            <a:gd name="connsiteX0" fmla="*/ 0 w 1722921"/>
            <a:gd name="connsiteY0" fmla="*/ 0 h 604643"/>
            <a:gd name="connsiteX1" fmla="*/ 1689877 w 1722921"/>
            <a:gd name="connsiteY1" fmla="*/ 0 h 604643"/>
            <a:gd name="connsiteX2" fmla="*/ 1720480 w 1722921"/>
            <a:gd name="connsiteY2" fmla="*/ 182628 h 604643"/>
            <a:gd name="connsiteX3" fmla="*/ 1576347 w 1722921"/>
            <a:gd name="connsiteY3" fmla="*/ 384790 h 604643"/>
            <a:gd name="connsiteX4" fmla="*/ 278922 w 1722921"/>
            <a:gd name="connsiteY4" fmla="*/ 602202 h 604643"/>
            <a:gd name="connsiteX5" fmla="*/ 76759 w 1722921"/>
            <a:gd name="connsiteY5" fmla="*/ 458069 h 604643"/>
            <a:gd name="connsiteX6" fmla="*/ 0 w 1722921"/>
            <a:gd name="connsiteY6" fmla="*/ 0 h 60464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722921" h="604643">
              <a:moveTo>
                <a:pt x="0" y="0"/>
              </a:moveTo>
              <a:lnTo>
                <a:pt x="1689877" y="0"/>
              </a:lnTo>
              <a:lnTo>
                <a:pt x="1720480" y="182628"/>
              </a:lnTo>
              <a:cubicBezTo>
                <a:pt x="1736504" y="278254"/>
                <a:pt x="1671973" y="368766"/>
                <a:pt x="1576347" y="384790"/>
              </a:cubicBezTo>
              <a:lnTo>
                <a:pt x="278922" y="602202"/>
              </a:lnTo>
              <a:cubicBezTo>
                <a:pt x="183295" y="618227"/>
                <a:pt x="92784" y="553696"/>
                <a:pt x="76759" y="458069"/>
              </a:cubicBezTo>
              <a:lnTo>
                <a:pt x="0" y="0"/>
              </a:lnTo>
              <a:close/>
            </a:path>
          </a:pathLst>
        </a:custGeom>
        <a:gradFill flip="none" rotWithShape="1">
          <a:gsLst>
            <a:gs pos="100000">
              <a:srgbClr val="00B050"/>
            </a:gs>
            <a:gs pos="37000">
              <a:srgbClr val="7030A0"/>
            </a:gs>
            <a:gs pos="66000">
              <a:schemeClr val="accent1">
                <a:lumMod val="75000"/>
                <a:alpha val="24000"/>
              </a:schemeClr>
            </a:gs>
            <a:gs pos="100000">
              <a:srgbClr val="00B050"/>
            </a:gs>
          </a:gsLst>
          <a:lin ang="2700000" scaled="1"/>
          <a:tileRect/>
        </a:gra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AU" sz="1100"/>
        </a:p>
      </xdr:txBody>
    </xdr:sp>
    <xdr:clientData/>
  </xdr:twoCellAnchor>
  <xdr:twoCellAnchor editAs="oneCell">
    <xdr:from>
      <xdr:col>1</xdr:col>
      <xdr:colOff>56029</xdr:colOff>
      <xdr:row>3</xdr:row>
      <xdr:rowOff>112059</xdr:rowOff>
    </xdr:from>
    <xdr:to>
      <xdr:col>2</xdr:col>
      <xdr:colOff>365312</xdr:colOff>
      <xdr:row>8</xdr:row>
      <xdr:rowOff>73959</xdr:rowOff>
    </xdr:to>
    <xdr:pic>
      <xdr:nvPicPr>
        <xdr:cNvPr id="5" name="Graphic 4" descr="Artificial Intelligence with solid fill">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61147" y="683559"/>
          <a:ext cx="914400" cy="914400"/>
        </a:xfrm>
        <a:prstGeom prst="rect">
          <a:avLst/>
        </a:prstGeom>
      </xdr:spPr>
    </xdr:pic>
    <xdr:clientData/>
  </xdr:twoCellAnchor>
  <xdr:twoCellAnchor>
    <xdr:from>
      <xdr:col>2</xdr:col>
      <xdr:colOff>515470</xdr:colOff>
      <xdr:row>0</xdr:row>
      <xdr:rowOff>168087</xdr:rowOff>
    </xdr:from>
    <xdr:to>
      <xdr:col>12</xdr:col>
      <xdr:colOff>493058</xdr:colOff>
      <xdr:row>5</xdr:row>
      <xdr:rowOff>168088</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1725705" y="168087"/>
          <a:ext cx="6028765" cy="952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2800" b="0"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Personal Stock Portfolio Dashboard</a:t>
          </a:r>
        </a:p>
        <a:p>
          <a:endParaRPr lang="en-AU" sz="28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459441</xdr:colOff>
      <xdr:row>11</xdr:row>
      <xdr:rowOff>156881</xdr:rowOff>
    </xdr:from>
    <xdr:to>
      <xdr:col>5</xdr:col>
      <xdr:colOff>134471</xdr:colOff>
      <xdr:row>14</xdr:row>
      <xdr:rowOff>42581</xdr:rowOff>
    </xdr:to>
    <xdr:sp macro="" textlink="">
      <xdr:nvSpPr>
        <xdr:cNvPr id="15362" name="Text Box 2">
          <a:extLst>
            <a:ext uri="{FF2B5EF4-FFF2-40B4-BE49-F238E27FC236}">
              <a16:creationId xmlns:a16="http://schemas.microsoft.com/office/drawing/2014/main" id="{00000000-0008-0000-0500-0000023C0000}"/>
            </a:ext>
          </a:extLst>
        </xdr:cNvPr>
        <xdr:cNvSpPr txBox="1">
          <a:spLocks noChangeArrowheads="1"/>
        </xdr:cNvSpPr>
      </xdr:nvSpPr>
      <xdr:spPr bwMode="auto">
        <a:xfrm>
          <a:off x="1064559" y="2252381"/>
          <a:ext cx="2095500" cy="457200"/>
        </a:xfrm>
        <a:prstGeom prst="rect">
          <a:avLst/>
        </a:prstGeom>
        <a:noFill/>
        <a:ln w="9525">
          <a:noFill/>
          <a:miter lim="800000"/>
          <a:headEnd/>
          <a:tailEnd/>
        </a:ln>
      </xdr:spPr>
      <xdr:txBody>
        <a:bodyPr vertOverflow="clip" wrap="square" lIns="27432" tIns="22860" rIns="0" bIns="0" anchor="t" upright="1"/>
        <a:lstStyle/>
        <a:p>
          <a:pPr algn="l" rtl="0">
            <a:defRPr sz="1000"/>
          </a:pPr>
          <a:r>
            <a:rPr lang="en-AU" sz="2400" b="1" i="0" u="none" strike="noStrike" baseline="0">
              <a:solidFill>
                <a:schemeClr val="accent4">
                  <a:lumMod val="20000"/>
                  <a:lumOff val="80000"/>
                </a:schemeClr>
              </a:solidFill>
              <a:latin typeface="Bradley Hand ITC" panose="03070402050302030203" pitchFamily="66" charset="0"/>
              <a:ea typeface="Calibri"/>
              <a:cs typeface="Calibri"/>
            </a:rPr>
            <a:t>Profit and Loss </a:t>
          </a:r>
        </a:p>
      </xdr:txBody>
    </xdr:sp>
    <xdr:clientData/>
  </xdr:twoCellAnchor>
  <xdr:twoCellAnchor>
    <xdr:from>
      <xdr:col>7</xdr:col>
      <xdr:colOff>280147</xdr:colOff>
      <xdr:row>10</xdr:row>
      <xdr:rowOff>89647</xdr:rowOff>
    </xdr:from>
    <xdr:to>
      <xdr:col>10</xdr:col>
      <xdr:colOff>123266</xdr:colOff>
      <xdr:row>12</xdr:row>
      <xdr:rowOff>0</xdr:rowOff>
    </xdr:to>
    <xdr:sp macro="" textlink="">
      <xdr:nvSpPr>
        <xdr:cNvPr id="29" name="TextBox 28">
          <a:extLst>
            <a:ext uri="{FF2B5EF4-FFF2-40B4-BE49-F238E27FC236}">
              <a16:creationId xmlns:a16="http://schemas.microsoft.com/office/drawing/2014/main" id="{00000000-0008-0000-0500-00001D000000}"/>
            </a:ext>
          </a:extLst>
        </xdr:cNvPr>
        <xdr:cNvSpPr txBox="1"/>
      </xdr:nvSpPr>
      <xdr:spPr>
        <a:xfrm>
          <a:off x="4515971" y="1994647"/>
          <a:ext cx="1658471" cy="291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AU" sz="12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cs typeface="Arial" panose="020B0604020202020204" pitchFamily="34" charset="0"/>
            </a:rPr>
            <a:t>Current</a:t>
          </a:r>
          <a:r>
            <a:rPr lang="en-AU" sz="1200" b="1" cap="none" spc="0" baseline="0">
              <a:ln w="0"/>
              <a:solidFill>
                <a:schemeClr val="bg1"/>
              </a:solidFill>
              <a:effectLst>
                <a:outerShdw blurRad="38100" dist="19050" dir="2700000" algn="tl" rotWithShape="0">
                  <a:schemeClr val="dk1">
                    <a:alpha val="40000"/>
                  </a:schemeClr>
                </a:outerShdw>
              </a:effectLst>
              <a:latin typeface="Agency FB" panose="020B0503020202020204" pitchFamily="34" charset="0"/>
              <a:cs typeface="Arial" panose="020B0604020202020204" pitchFamily="34" charset="0"/>
            </a:rPr>
            <a:t> Investment Value</a:t>
          </a:r>
        </a:p>
        <a:p>
          <a:pPr algn="ctr"/>
          <a:endParaRPr lang="en-AU" sz="1400" b="1">
            <a:solidFill>
              <a:schemeClr val="bg1"/>
            </a:solidFill>
            <a:latin typeface="Arial" panose="020B0604020202020204" pitchFamily="34" charset="0"/>
            <a:cs typeface="Arial" panose="020B0604020202020204" pitchFamily="34" charset="0"/>
          </a:endParaRPr>
        </a:p>
      </xdr:txBody>
    </xdr:sp>
    <xdr:clientData/>
  </xdr:twoCellAnchor>
  <xdr:twoCellAnchor>
    <xdr:from>
      <xdr:col>7</xdr:col>
      <xdr:colOff>325206</xdr:colOff>
      <xdr:row>5</xdr:row>
      <xdr:rowOff>182656</xdr:rowOff>
    </xdr:from>
    <xdr:to>
      <xdr:col>10</xdr:col>
      <xdr:colOff>241469</xdr:colOff>
      <xdr:row>9</xdr:row>
      <xdr:rowOff>77175</xdr:rowOff>
    </xdr:to>
    <xdr:sp macro="" textlink="">
      <xdr:nvSpPr>
        <xdr:cNvPr id="39" name="Freeform: Shape 38">
          <a:extLst>
            <a:ext uri="{FF2B5EF4-FFF2-40B4-BE49-F238E27FC236}">
              <a16:creationId xmlns:a16="http://schemas.microsoft.com/office/drawing/2014/main" id="{00000000-0008-0000-0500-000027000000}"/>
            </a:ext>
          </a:extLst>
        </xdr:cNvPr>
        <xdr:cNvSpPr/>
      </xdr:nvSpPr>
      <xdr:spPr>
        <a:xfrm rot="570767">
          <a:off x="4561030" y="1135156"/>
          <a:ext cx="1731615" cy="656519"/>
        </a:xfrm>
        <a:custGeom>
          <a:avLst/>
          <a:gdLst>
            <a:gd name="connsiteX0" fmla="*/ 146575 w 1731615"/>
            <a:gd name="connsiteY0" fmla="*/ 219853 h 656519"/>
            <a:gd name="connsiteX1" fmla="*/ 1444000 w 1731615"/>
            <a:gd name="connsiteY1" fmla="*/ 2441 h 656519"/>
            <a:gd name="connsiteX2" fmla="*/ 1646162 w 1731615"/>
            <a:gd name="connsiteY2" fmla="*/ 146574 h 656519"/>
            <a:gd name="connsiteX3" fmla="*/ 1731615 w 1731615"/>
            <a:gd name="connsiteY3" fmla="*/ 656519 h 656519"/>
            <a:gd name="connsiteX4" fmla="*/ 41738 w 1731615"/>
            <a:gd name="connsiteY4" fmla="*/ 656519 h 656519"/>
            <a:gd name="connsiteX5" fmla="*/ 2442 w 1731615"/>
            <a:gd name="connsiteY5" fmla="*/ 422016 h 656519"/>
            <a:gd name="connsiteX6" fmla="*/ 146575 w 1731615"/>
            <a:gd name="connsiteY6" fmla="*/ 219853 h 6565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731615" h="656519">
              <a:moveTo>
                <a:pt x="146575" y="219853"/>
              </a:moveTo>
              <a:lnTo>
                <a:pt x="1444000" y="2441"/>
              </a:lnTo>
              <a:cubicBezTo>
                <a:pt x="1539626" y="-13583"/>
                <a:pt x="1630138" y="50947"/>
                <a:pt x="1646162" y="146574"/>
              </a:cubicBezTo>
              <a:lnTo>
                <a:pt x="1731615" y="656519"/>
              </a:lnTo>
              <a:lnTo>
                <a:pt x="41738" y="656519"/>
              </a:lnTo>
              <a:lnTo>
                <a:pt x="2442" y="422016"/>
              </a:lnTo>
              <a:cubicBezTo>
                <a:pt x="-13583" y="326389"/>
                <a:pt x="50948" y="235877"/>
                <a:pt x="146575" y="219853"/>
              </a:cubicBezTo>
              <a:close/>
            </a:path>
          </a:pathLst>
        </a:custGeom>
        <a:solidFill>
          <a:schemeClr val="tx1"/>
        </a:soli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AU" sz="1100">
            <a:highlight>
              <a:srgbClr val="000000"/>
            </a:highlight>
          </a:endParaRPr>
        </a:p>
      </xdr:txBody>
    </xdr:sp>
    <xdr:clientData/>
  </xdr:twoCellAnchor>
  <xdr:twoCellAnchor>
    <xdr:from>
      <xdr:col>7</xdr:col>
      <xdr:colOff>329452</xdr:colOff>
      <xdr:row>6</xdr:row>
      <xdr:rowOff>160244</xdr:rowOff>
    </xdr:from>
    <xdr:to>
      <xdr:col>10</xdr:col>
      <xdr:colOff>172571</xdr:colOff>
      <xdr:row>10</xdr:row>
      <xdr:rowOff>22412</xdr:rowOff>
    </xdr:to>
    <xdr:sp macro="" textlink="'Current Holdings'!G25">
      <xdr:nvSpPr>
        <xdr:cNvPr id="47" name="TextBox 46">
          <a:extLst>
            <a:ext uri="{FF2B5EF4-FFF2-40B4-BE49-F238E27FC236}">
              <a16:creationId xmlns:a16="http://schemas.microsoft.com/office/drawing/2014/main" id="{00000000-0008-0000-0500-00002F000000}"/>
            </a:ext>
          </a:extLst>
        </xdr:cNvPr>
        <xdr:cNvSpPr txBox="1"/>
      </xdr:nvSpPr>
      <xdr:spPr>
        <a:xfrm>
          <a:off x="4565276" y="1303244"/>
          <a:ext cx="1658471" cy="6241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D34CEA6-E965-453D-94CC-E9A3D8E9D8CF}" type="TxLink">
            <a:rPr lang="en-US" sz="1800" b="1" i="0" u="none" strike="noStrike">
              <a:solidFill>
                <a:srgbClr val="FFFFFF"/>
              </a:solidFill>
              <a:latin typeface="Calibri"/>
              <a:ea typeface="Calibri"/>
              <a:cs typeface="Calibri"/>
            </a:rPr>
            <a:pPr algn="ctr"/>
            <a:t>$34,174.24</a:t>
          </a:fld>
          <a:endParaRPr lang="en-AU" sz="1400" b="1">
            <a:solidFill>
              <a:schemeClr val="bg1"/>
            </a:solidFill>
            <a:latin typeface="Arial" panose="020B0604020202020204" pitchFamily="34" charset="0"/>
            <a:cs typeface="Arial" panose="020B0604020202020204" pitchFamily="34" charset="0"/>
          </a:endParaRPr>
        </a:p>
      </xdr:txBody>
    </xdr:sp>
    <xdr:clientData/>
  </xdr:twoCellAnchor>
  <xdr:twoCellAnchor>
    <xdr:from>
      <xdr:col>10</xdr:col>
      <xdr:colOff>519953</xdr:colOff>
      <xdr:row>9</xdr:row>
      <xdr:rowOff>74683</xdr:rowOff>
    </xdr:from>
    <xdr:to>
      <xdr:col>13</xdr:col>
      <xdr:colOff>427521</xdr:colOff>
      <xdr:row>12</xdr:row>
      <xdr:rowOff>107826</xdr:rowOff>
    </xdr:to>
    <xdr:sp macro="" textlink="">
      <xdr:nvSpPr>
        <xdr:cNvPr id="50" name="Freeform: Shape 49">
          <a:extLst>
            <a:ext uri="{FF2B5EF4-FFF2-40B4-BE49-F238E27FC236}">
              <a16:creationId xmlns:a16="http://schemas.microsoft.com/office/drawing/2014/main" id="{00000000-0008-0000-0500-000032000000}"/>
            </a:ext>
          </a:extLst>
        </xdr:cNvPr>
        <xdr:cNvSpPr/>
      </xdr:nvSpPr>
      <xdr:spPr>
        <a:xfrm rot="570767">
          <a:off x="6571129" y="1789183"/>
          <a:ext cx="1722921" cy="604643"/>
        </a:xfrm>
        <a:custGeom>
          <a:avLst/>
          <a:gdLst>
            <a:gd name="connsiteX0" fmla="*/ 0 w 1722921"/>
            <a:gd name="connsiteY0" fmla="*/ 0 h 604643"/>
            <a:gd name="connsiteX1" fmla="*/ 1689877 w 1722921"/>
            <a:gd name="connsiteY1" fmla="*/ 0 h 604643"/>
            <a:gd name="connsiteX2" fmla="*/ 1720480 w 1722921"/>
            <a:gd name="connsiteY2" fmla="*/ 182628 h 604643"/>
            <a:gd name="connsiteX3" fmla="*/ 1576347 w 1722921"/>
            <a:gd name="connsiteY3" fmla="*/ 384790 h 604643"/>
            <a:gd name="connsiteX4" fmla="*/ 278922 w 1722921"/>
            <a:gd name="connsiteY4" fmla="*/ 602202 h 604643"/>
            <a:gd name="connsiteX5" fmla="*/ 76759 w 1722921"/>
            <a:gd name="connsiteY5" fmla="*/ 458069 h 604643"/>
            <a:gd name="connsiteX6" fmla="*/ 0 w 1722921"/>
            <a:gd name="connsiteY6" fmla="*/ 0 h 60464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722921" h="604643">
              <a:moveTo>
                <a:pt x="0" y="0"/>
              </a:moveTo>
              <a:lnTo>
                <a:pt x="1689877" y="0"/>
              </a:lnTo>
              <a:lnTo>
                <a:pt x="1720480" y="182628"/>
              </a:lnTo>
              <a:cubicBezTo>
                <a:pt x="1736504" y="278254"/>
                <a:pt x="1671973" y="368766"/>
                <a:pt x="1576347" y="384790"/>
              </a:cubicBezTo>
              <a:lnTo>
                <a:pt x="278922" y="602202"/>
              </a:lnTo>
              <a:cubicBezTo>
                <a:pt x="183295" y="618227"/>
                <a:pt x="92784" y="553696"/>
                <a:pt x="76759" y="458069"/>
              </a:cubicBezTo>
              <a:lnTo>
                <a:pt x="0" y="0"/>
              </a:lnTo>
              <a:close/>
            </a:path>
          </a:pathLst>
        </a:custGeom>
        <a:gradFill flip="none" rotWithShape="1">
          <a:gsLst>
            <a:gs pos="100000">
              <a:srgbClr val="00B050"/>
            </a:gs>
            <a:gs pos="37000">
              <a:srgbClr val="7030A0"/>
            </a:gs>
            <a:gs pos="66000">
              <a:schemeClr val="accent1">
                <a:lumMod val="75000"/>
                <a:alpha val="24000"/>
              </a:schemeClr>
            </a:gs>
            <a:gs pos="100000">
              <a:srgbClr val="00B050"/>
            </a:gs>
          </a:gsLst>
          <a:lin ang="2700000" scaled="1"/>
          <a:tileRect/>
        </a:gra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AU" sz="1100"/>
        </a:p>
      </xdr:txBody>
    </xdr:sp>
    <xdr:clientData/>
  </xdr:twoCellAnchor>
  <xdr:twoCellAnchor>
    <xdr:from>
      <xdr:col>10</xdr:col>
      <xdr:colOff>582943</xdr:colOff>
      <xdr:row>5</xdr:row>
      <xdr:rowOff>182656</xdr:rowOff>
    </xdr:from>
    <xdr:to>
      <xdr:col>13</xdr:col>
      <xdr:colOff>499205</xdr:colOff>
      <xdr:row>9</xdr:row>
      <xdr:rowOff>77175</xdr:rowOff>
    </xdr:to>
    <xdr:sp macro="" textlink="">
      <xdr:nvSpPr>
        <xdr:cNvPr id="51" name="Freeform: Shape 50">
          <a:extLst>
            <a:ext uri="{FF2B5EF4-FFF2-40B4-BE49-F238E27FC236}">
              <a16:creationId xmlns:a16="http://schemas.microsoft.com/office/drawing/2014/main" id="{00000000-0008-0000-0500-000033000000}"/>
            </a:ext>
          </a:extLst>
        </xdr:cNvPr>
        <xdr:cNvSpPr/>
      </xdr:nvSpPr>
      <xdr:spPr>
        <a:xfrm rot="570767">
          <a:off x="6634119" y="1135156"/>
          <a:ext cx="1731615" cy="656519"/>
        </a:xfrm>
        <a:custGeom>
          <a:avLst/>
          <a:gdLst>
            <a:gd name="connsiteX0" fmla="*/ 146575 w 1731615"/>
            <a:gd name="connsiteY0" fmla="*/ 219853 h 656519"/>
            <a:gd name="connsiteX1" fmla="*/ 1444000 w 1731615"/>
            <a:gd name="connsiteY1" fmla="*/ 2441 h 656519"/>
            <a:gd name="connsiteX2" fmla="*/ 1646162 w 1731615"/>
            <a:gd name="connsiteY2" fmla="*/ 146574 h 656519"/>
            <a:gd name="connsiteX3" fmla="*/ 1731615 w 1731615"/>
            <a:gd name="connsiteY3" fmla="*/ 656519 h 656519"/>
            <a:gd name="connsiteX4" fmla="*/ 41738 w 1731615"/>
            <a:gd name="connsiteY4" fmla="*/ 656519 h 656519"/>
            <a:gd name="connsiteX5" fmla="*/ 2442 w 1731615"/>
            <a:gd name="connsiteY5" fmla="*/ 422016 h 656519"/>
            <a:gd name="connsiteX6" fmla="*/ 146575 w 1731615"/>
            <a:gd name="connsiteY6" fmla="*/ 219853 h 6565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731615" h="656519">
              <a:moveTo>
                <a:pt x="146575" y="219853"/>
              </a:moveTo>
              <a:lnTo>
                <a:pt x="1444000" y="2441"/>
              </a:lnTo>
              <a:cubicBezTo>
                <a:pt x="1539626" y="-13583"/>
                <a:pt x="1630138" y="50947"/>
                <a:pt x="1646162" y="146574"/>
              </a:cubicBezTo>
              <a:lnTo>
                <a:pt x="1731615" y="656519"/>
              </a:lnTo>
              <a:lnTo>
                <a:pt x="41738" y="656519"/>
              </a:lnTo>
              <a:lnTo>
                <a:pt x="2442" y="422016"/>
              </a:lnTo>
              <a:cubicBezTo>
                <a:pt x="-13583" y="326389"/>
                <a:pt x="50948" y="235877"/>
                <a:pt x="146575" y="219853"/>
              </a:cubicBezTo>
              <a:close/>
            </a:path>
          </a:pathLst>
        </a:custGeom>
        <a:solidFill>
          <a:schemeClr val="tx1"/>
        </a:soli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AU" sz="1100">
            <a:highlight>
              <a:srgbClr val="000000"/>
            </a:highlight>
          </a:endParaRPr>
        </a:p>
      </xdr:txBody>
    </xdr:sp>
    <xdr:clientData/>
  </xdr:twoCellAnchor>
  <xdr:twoCellAnchor>
    <xdr:from>
      <xdr:col>10</xdr:col>
      <xdr:colOff>587189</xdr:colOff>
      <xdr:row>6</xdr:row>
      <xdr:rowOff>160244</xdr:rowOff>
    </xdr:from>
    <xdr:to>
      <xdr:col>13</xdr:col>
      <xdr:colOff>430307</xdr:colOff>
      <xdr:row>10</xdr:row>
      <xdr:rowOff>22412</xdr:rowOff>
    </xdr:to>
    <xdr:sp macro="" textlink="Calculations!H37">
      <xdr:nvSpPr>
        <xdr:cNvPr id="52" name="TextBox 51">
          <a:extLst>
            <a:ext uri="{FF2B5EF4-FFF2-40B4-BE49-F238E27FC236}">
              <a16:creationId xmlns:a16="http://schemas.microsoft.com/office/drawing/2014/main" id="{00000000-0008-0000-0500-000034000000}"/>
            </a:ext>
          </a:extLst>
        </xdr:cNvPr>
        <xdr:cNvSpPr txBox="1"/>
      </xdr:nvSpPr>
      <xdr:spPr>
        <a:xfrm>
          <a:off x="6638365" y="1303244"/>
          <a:ext cx="1658471" cy="6241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F74A3AE-CBF1-4D4D-9673-961D1DD9CE2B}" type="TxLink">
            <a:rPr lang="en-US" sz="1800" b="1" i="0" u="none" strike="noStrike">
              <a:solidFill>
                <a:srgbClr val="FFFFFF"/>
              </a:solidFill>
              <a:latin typeface="Calibri"/>
              <a:ea typeface="Calibri"/>
              <a:cs typeface="Calibri"/>
            </a:rPr>
            <a:pPr marL="0" indent="0" algn="ctr"/>
            <a:t>$123,201.09</a:t>
          </a:fld>
          <a:endParaRPr lang="en-AU" sz="1800" b="1" i="0" u="none" strike="noStrike">
            <a:solidFill>
              <a:srgbClr val="FFFFFF"/>
            </a:solidFill>
            <a:latin typeface="Calibri"/>
            <a:ea typeface="Calibri"/>
            <a:cs typeface="Calibri"/>
          </a:endParaRPr>
        </a:p>
      </xdr:txBody>
    </xdr:sp>
    <xdr:clientData/>
  </xdr:twoCellAnchor>
  <xdr:twoCellAnchor>
    <xdr:from>
      <xdr:col>14</xdr:col>
      <xdr:colOff>105335</xdr:colOff>
      <xdr:row>9</xdr:row>
      <xdr:rowOff>74683</xdr:rowOff>
    </xdr:from>
    <xdr:to>
      <xdr:col>17</xdr:col>
      <xdr:colOff>12903</xdr:colOff>
      <xdr:row>12</xdr:row>
      <xdr:rowOff>107826</xdr:rowOff>
    </xdr:to>
    <xdr:sp macro="" textlink="">
      <xdr:nvSpPr>
        <xdr:cNvPr id="53" name="Freeform: Shape 52">
          <a:extLst>
            <a:ext uri="{FF2B5EF4-FFF2-40B4-BE49-F238E27FC236}">
              <a16:creationId xmlns:a16="http://schemas.microsoft.com/office/drawing/2014/main" id="{00000000-0008-0000-0500-000035000000}"/>
            </a:ext>
          </a:extLst>
        </xdr:cNvPr>
        <xdr:cNvSpPr/>
      </xdr:nvSpPr>
      <xdr:spPr>
        <a:xfrm rot="570767">
          <a:off x="8576982" y="1789183"/>
          <a:ext cx="1722921" cy="604643"/>
        </a:xfrm>
        <a:custGeom>
          <a:avLst/>
          <a:gdLst>
            <a:gd name="connsiteX0" fmla="*/ 0 w 1722921"/>
            <a:gd name="connsiteY0" fmla="*/ 0 h 604643"/>
            <a:gd name="connsiteX1" fmla="*/ 1689877 w 1722921"/>
            <a:gd name="connsiteY1" fmla="*/ 0 h 604643"/>
            <a:gd name="connsiteX2" fmla="*/ 1720480 w 1722921"/>
            <a:gd name="connsiteY2" fmla="*/ 182628 h 604643"/>
            <a:gd name="connsiteX3" fmla="*/ 1576347 w 1722921"/>
            <a:gd name="connsiteY3" fmla="*/ 384790 h 604643"/>
            <a:gd name="connsiteX4" fmla="*/ 278922 w 1722921"/>
            <a:gd name="connsiteY4" fmla="*/ 602202 h 604643"/>
            <a:gd name="connsiteX5" fmla="*/ 76759 w 1722921"/>
            <a:gd name="connsiteY5" fmla="*/ 458069 h 604643"/>
            <a:gd name="connsiteX6" fmla="*/ 0 w 1722921"/>
            <a:gd name="connsiteY6" fmla="*/ 0 h 60464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722921" h="604643">
              <a:moveTo>
                <a:pt x="0" y="0"/>
              </a:moveTo>
              <a:lnTo>
                <a:pt x="1689877" y="0"/>
              </a:lnTo>
              <a:lnTo>
                <a:pt x="1720480" y="182628"/>
              </a:lnTo>
              <a:cubicBezTo>
                <a:pt x="1736504" y="278254"/>
                <a:pt x="1671973" y="368766"/>
                <a:pt x="1576347" y="384790"/>
              </a:cubicBezTo>
              <a:lnTo>
                <a:pt x="278922" y="602202"/>
              </a:lnTo>
              <a:cubicBezTo>
                <a:pt x="183295" y="618227"/>
                <a:pt x="92784" y="553696"/>
                <a:pt x="76759" y="458069"/>
              </a:cubicBezTo>
              <a:lnTo>
                <a:pt x="0" y="0"/>
              </a:lnTo>
              <a:close/>
            </a:path>
          </a:pathLst>
        </a:custGeom>
        <a:gradFill flip="none" rotWithShape="1">
          <a:gsLst>
            <a:gs pos="100000">
              <a:srgbClr val="00B050"/>
            </a:gs>
            <a:gs pos="37000">
              <a:srgbClr val="7030A0"/>
            </a:gs>
            <a:gs pos="66000">
              <a:schemeClr val="accent1">
                <a:lumMod val="75000"/>
                <a:alpha val="24000"/>
              </a:schemeClr>
            </a:gs>
            <a:gs pos="100000">
              <a:srgbClr val="00B050"/>
            </a:gs>
          </a:gsLst>
          <a:lin ang="2700000" scaled="1"/>
          <a:tileRect/>
        </a:gra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AU" sz="1100"/>
        </a:p>
      </xdr:txBody>
    </xdr:sp>
    <xdr:clientData/>
  </xdr:twoCellAnchor>
  <xdr:twoCellAnchor>
    <xdr:from>
      <xdr:col>14</xdr:col>
      <xdr:colOff>168325</xdr:colOff>
      <xdr:row>5</xdr:row>
      <xdr:rowOff>182656</xdr:rowOff>
    </xdr:from>
    <xdr:to>
      <xdr:col>17</xdr:col>
      <xdr:colOff>84587</xdr:colOff>
      <xdr:row>9</xdr:row>
      <xdr:rowOff>77175</xdr:rowOff>
    </xdr:to>
    <xdr:sp macro="" textlink="">
      <xdr:nvSpPr>
        <xdr:cNvPr id="54" name="Freeform: Shape 53">
          <a:extLst>
            <a:ext uri="{FF2B5EF4-FFF2-40B4-BE49-F238E27FC236}">
              <a16:creationId xmlns:a16="http://schemas.microsoft.com/office/drawing/2014/main" id="{00000000-0008-0000-0500-000036000000}"/>
            </a:ext>
          </a:extLst>
        </xdr:cNvPr>
        <xdr:cNvSpPr/>
      </xdr:nvSpPr>
      <xdr:spPr>
        <a:xfrm rot="570767">
          <a:off x="8639972" y="1135156"/>
          <a:ext cx="1731615" cy="656519"/>
        </a:xfrm>
        <a:custGeom>
          <a:avLst/>
          <a:gdLst>
            <a:gd name="connsiteX0" fmla="*/ 146575 w 1731615"/>
            <a:gd name="connsiteY0" fmla="*/ 219853 h 656519"/>
            <a:gd name="connsiteX1" fmla="*/ 1444000 w 1731615"/>
            <a:gd name="connsiteY1" fmla="*/ 2441 h 656519"/>
            <a:gd name="connsiteX2" fmla="*/ 1646162 w 1731615"/>
            <a:gd name="connsiteY2" fmla="*/ 146574 h 656519"/>
            <a:gd name="connsiteX3" fmla="*/ 1731615 w 1731615"/>
            <a:gd name="connsiteY3" fmla="*/ 656519 h 656519"/>
            <a:gd name="connsiteX4" fmla="*/ 41738 w 1731615"/>
            <a:gd name="connsiteY4" fmla="*/ 656519 h 656519"/>
            <a:gd name="connsiteX5" fmla="*/ 2442 w 1731615"/>
            <a:gd name="connsiteY5" fmla="*/ 422016 h 656519"/>
            <a:gd name="connsiteX6" fmla="*/ 146575 w 1731615"/>
            <a:gd name="connsiteY6" fmla="*/ 219853 h 6565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731615" h="656519">
              <a:moveTo>
                <a:pt x="146575" y="219853"/>
              </a:moveTo>
              <a:lnTo>
                <a:pt x="1444000" y="2441"/>
              </a:lnTo>
              <a:cubicBezTo>
                <a:pt x="1539626" y="-13583"/>
                <a:pt x="1630138" y="50947"/>
                <a:pt x="1646162" y="146574"/>
              </a:cubicBezTo>
              <a:lnTo>
                <a:pt x="1731615" y="656519"/>
              </a:lnTo>
              <a:lnTo>
                <a:pt x="41738" y="656519"/>
              </a:lnTo>
              <a:lnTo>
                <a:pt x="2442" y="422016"/>
              </a:lnTo>
              <a:cubicBezTo>
                <a:pt x="-13583" y="326389"/>
                <a:pt x="50948" y="235877"/>
                <a:pt x="146575" y="219853"/>
              </a:cubicBezTo>
              <a:close/>
            </a:path>
          </a:pathLst>
        </a:custGeom>
        <a:solidFill>
          <a:schemeClr val="tx1"/>
        </a:soli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AU" sz="1100">
            <a:highlight>
              <a:srgbClr val="000000"/>
            </a:highlight>
          </a:endParaRPr>
        </a:p>
      </xdr:txBody>
    </xdr:sp>
    <xdr:clientData/>
  </xdr:twoCellAnchor>
  <xdr:twoCellAnchor>
    <xdr:from>
      <xdr:col>14</xdr:col>
      <xdr:colOff>172571</xdr:colOff>
      <xdr:row>6</xdr:row>
      <xdr:rowOff>160244</xdr:rowOff>
    </xdr:from>
    <xdr:to>
      <xdr:col>17</xdr:col>
      <xdr:colOff>15689</xdr:colOff>
      <xdr:row>10</xdr:row>
      <xdr:rowOff>22412</xdr:rowOff>
    </xdr:to>
    <xdr:sp macro="" textlink="Calculations!H38">
      <xdr:nvSpPr>
        <xdr:cNvPr id="55" name="TextBox 54">
          <a:extLst>
            <a:ext uri="{FF2B5EF4-FFF2-40B4-BE49-F238E27FC236}">
              <a16:creationId xmlns:a16="http://schemas.microsoft.com/office/drawing/2014/main" id="{00000000-0008-0000-0500-000037000000}"/>
            </a:ext>
          </a:extLst>
        </xdr:cNvPr>
        <xdr:cNvSpPr txBox="1"/>
      </xdr:nvSpPr>
      <xdr:spPr>
        <a:xfrm>
          <a:off x="8644218" y="1303244"/>
          <a:ext cx="1658471" cy="6241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E97B712-DEDD-4A6B-9503-BA75407FBD25}" type="TxLink">
            <a:rPr lang="en-US" sz="1800" b="1" i="0" u="none" strike="noStrike">
              <a:solidFill>
                <a:srgbClr val="FFFFFF"/>
              </a:solidFill>
              <a:latin typeface="Calibri"/>
              <a:ea typeface="Calibri"/>
              <a:cs typeface="Calibri"/>
            </a:rPr>
            <a:pPr marL="0" indent="0" algn="ctr"/>
            <a:t>$199,228.62</a:t>
          </a:fld>
          <a:endParaRPr lang="en-AU" sz="1800" b="1" i="0" u="none" strike="noStrike">
            <a:solidFill>
              <a:srgbClr val="FFFFFF"/>
            </a:solidFill>
            <a:latin typeface="Calibri"/>
            <a:ea typeface="Calibri"/>
            <a:cs typeface="Calibri"/>
          </a:endParaRPr>
        </a:p>
      </xdr:txBody>
    </xdr:sp>
    <xdr:clientData/>
  </xdr:twoCellAnchor>
  <xdr:twoCellAnchor>
    <xdr:from>
      <xdr:col>17</xdr:col>
      <xdr:colOff>329453</xdr:colOff>
      <xdr:row>9</xdr:row>
      <xdr:rowOff>74683</xdr:rowOff>
    </xdr:from>
    <xdr:to>
      <xdr:col>20</xdr:col>
      <xdr:colOff>237021</xdr:colOff>
      <xdr:row>12</xdr:row>
      <xdr:rowOff>107826</xdr:rowOff>
    </xdr:to>
    <xdr:sp macro="" textlink="">
      <xdr:nvSpPr>
        <xdr:cNvPr id="56" name="Freeform: Shape 55">
          <a:extLst>
            <a:ext uri="{FF2B5EF4-FFF2-40B4-BE49-F238E27FC236}">
              <a16:creationId xmlns:a16="http://schemas.microsoft.com/office/drawing/2014/main" id="{00000000-0008-0000-0500-000038000000}"/>
            </a:ext>
          </a:extLst>
        </xdr:cNvPr>
        <xdr:cNvSpPr/>
      </xdr:nvSpPr>
      <xdr:spPr>
        <a:xfrm rot="570767">
          <a:off x="10616453" y="1789183"/>
          <a:ext cx="1722921" cy="604643"/>
        </a:xfrm>
        <a:custGeom>
          <a:avLst/>
          <a:gdLst>
            <a:gd name="connsiteX0" fmla="*/ 0 w 1722921"/>
            <a:gd name="connsiteY0" fmla="*/ 0 h 604643"/>
            <a:gd name="connsiteX1" fmla="*/ 1689877 w 1722921"/>
            <a:gd name="connsiteY1" fmla="*/ 0 h 604643"/>
            <a:gd name="connsiteX2" fmla="*/ 1720480 w 1722921"/>
            <a:gd name="connsiteY2" fmla="*/ 182628 h 604643"/>
            <a:gd name="connsiteX3" fmla="*/ 1576347 w 1722921"/>
            <a:gd name="connsiteY3" fmla="*/ 384790 h 604643"/>
            <a:gd name="connsiteX4" fmla="*/ 278922 w 1722921"/>
            <a:gd name="connsiteY4" fmla="*/ 602202 h 604643"/>
            <a:gd name="connsiteX5" fmla="*/ 76759 w 1722921"/>
            <a:gd name="connsiteY5" fmla="*/ 458069 h 604643"/>
            <a:gd name="connsiteX6" fmla="*/ 0 w 1722921"/>
            <a:gd name="connsiteY6" fmla="*/ 0 h 60464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722921" h="604643">
              <a:moveTo>
                <a:pt x="0" y="0"/>
              </a:moveTo>
              <a:lnTo>
                <a:pt x="1689877" y="0"/>
              </a:lnTo>
              <a:lnTo>
                <a:pt x="1720480" y="182628"/>
              </a:lnTo>
              <a:cubicBezTo>
                <a:pt x="1736504" y="278254"/>
                <a:pt x="1671973" y="368766"/>
                <a:pt x="1576347" y="384790"/>
              </a:cubicBezTo>
              <a:lnTo>
                <a:pt x="278922" y="602202"/>
              </a:lnTo>
              <a:cubicBezTo>
                <a:pt x="183295" y="618227"/>
                <a:pt x="92784" y="553696"/>
                <a:pt x="76759" y="458069"/>
              </a:cubicBezTo>
              <a:lnTo>
                <a:pt x="0" y="0"/>
              </a:lnTo>
              <a:close/>
            </a:path>
          </a:pathLst>
        </a:custGeom>
        <a:gradFill flip="none" rotWithShape="1">
          <a:gsLst>
            <a:gs pos="100000">
              <a:srgbClr val="00B050"/>
            </a:gs>
            <a:gs pos="37000">
              <a:srgbClr val="7030A0"/>
            </a:gs>
            <a:gs pos="66000">
              <a:schemeClr val="accent1">
                <a:lumMod val="75000"/>
                <a:alpha val="24000"/>
              </a:schemeClr>
            </a:gs>
            <a:gs pos="100000">
              <a:srgbClr val="00B050"/>
            </a:gs>
          </a:gsLst>
          <a:lin ang="2700000" scaled="1"/>
          <a:tileRect/>
        </a:gra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AU" sz="1100"/>
        </a:p>
      </xdr:txBody>
    </xdr:sp>
    <xdr:clientData/>
  </xdr:twoCellAnchor>
  <xdr:twoCellAnchor>
    <xdr:from>
      <xdr:col>17</xdr:col>
      <xdr:colOff>392443</xdr:colOff>
      <xdr:row>5</xdr:row>
      <xdr:rowOff>182656</xdr:rowOff>
    </xdr:from>
    <xdr:to>
      <xdr:col>20</xdr:col>
      <xdr:colOff>308705</xdr:colOff>
      <xdr:row>9</xdr:row>
      <xdr:rowOff>77175</xdr:rowOff>
    </xdr:to>
    <xdr:sp macro="" textlink="">
      <xdr:nvSpPr>
        <xdr:cNvPr id="57" name="Freeform: Shape 56">
          <a:extLst>
            <a:ext uri="{FF2B5EF4-FFF2-40B4-BE49-F238E27FC236}">
              <a16:creationId xmlns:a16="http://schemas.microsoft.com/office/drawing/2014/main" id="{00000000-0008-0000-0500-000039000000}"/>
            </a:ext>
          </a:extLst>
        </xdr:cNvPr>
        <xdr:cNvSpPr/>
      </xdr:nvSpPr>
      <xdr:spPr>
        <a:xfrm rot="570767">
          <a:off x="10679443" y="1135156"/>
          <a:ext cx="1731615" cy="656519"/>
        </a:xfrm>
        <a:custGeom>
          <a:avLst/>
          <a:gdLst>
            <a:gd name="connsiteX0" fmla="*/ 146575 w 1731615"/>
            <a:gd name="connsiteY0" fmla="*/ 219853 h 656519"/>
            <a:gd name="connsiteX1" fmla="*/ 1444000 w 1731615"/>
            <a:gd name="connsiteY1" fmla="*/ 2441 h 656519"/>
            <a:gd name="connsiteX2" fmla="*/ 1646162 w 1731615"/>
            <a:gd name="connsiteY2" fmla="*/ 146574 h 656519"/>
            <a:gd name="connsiteX3" fmla="*/ 1731615 w 1731615"/>
            <a:gd name="connsiteY3" fmla="*/ 656519 h 656519"/>
            <a:gd name="connsiteX4" fmla="*/ 41738 w 1731615"/>
            <a:gd name="connsiteY4" fmla="*/ 656519 h 656519"/>
            <a:gd name="connsiteX5" fmla="*/ 2442 w 1731615"/>
            <a:gd name="connsiteY5" fmla="*/ 422016 h 656519"/>
            <a:gd name="connsiteX6" fmla="*/ 146575 w 1731615"/>
            <a:gd name="connsiteY6" fmla="*/ 219853 h 6565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731615" h="656519">
              <a:moveTo>
                <a:pt x="146575" y="219853"/>
              </a:moveTo>
              <a:lnTo>
                <a:pt x="1444000" y="2441"/>
              </a:lnTo>
              <a:cubicBezTo>
                <a:pt x="1539626" y="-13583"/>
                <a:pt x="1630138" y="50947"/>
                <a:pt x="1646162" y="146574"/>
              </a:cubicBezTo>
              <a:lnTo>
                <a:pt x="1731615" y="656519"/>
              </a:lnTo>
              <a:lnTo>
                <a:pt x="41738" y="656519"/>
              </a:lnTo>
              <a:lnTo>
                <a:pt x="2442" y="422016"/>
              </a:lnTo>
              <a:cubicBezTo>
                <a:pt x="-13583" y="326389"/>
                <a:pt x="50948" y="235877"/>
                <a:pt x="146575" y="219853"/>
              </a:cubicBezTo>
              <a:close/>
            </a:path>
          </a:pathLst>
        </a:custGeom>
        <a:solidFill>
          <a:schemeClr val="tx1"/>
        </a:soli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AU" sz="1100">
            <a:highlight>
              <a:srgbClr val="000000"/>
            </a:highlight>
          </a:endParaRPr>
        </a:p>
      </xdr:txBody>
    </xdr:sp>
    <xdr:clientData/>
  </xdr:twoCellAnchor>
  <xdr:twoCellAnchor>
    <xdr:from>
      <xdr:col>17</xdr:col>
      <xdr:colOff>396689</xdr:colOff>
      <xdr:row>6</xdr:row>
      <xdr:rowOff>160244</xdr:rowOff>
    </xdr:from>
    <xdr:to>
      <xdr:col>20</xdr:col>
      <xdr:colOff>239807</xdr:colOff>
      <xdr:row>10</xdr:row>
      <xdr:rowOff>22412</xdr:rowOff>
    </xdr:to>
    <xdr:sp macro="" textlink="'Current Holdings'!O25">
      <xdr:nvSpPr>
        <xdr:cNvPr id="58" name="TextBox 57">
          <a:extLst>
            <a:ext uri="{FF2B5EF4-FFF2-40B4-BE49-F238E27FC236}">
              <a16:creationId xmlns:a16="http://schemas.microsoft.com/office/drawing/2014/main" id="{00000000-0008-0000-0500-00003A000000}"/>
            </a:ext>
          </a:extLst>
        </xdr:cNvPr>
        <xdr:cNvSpPr txBox="1"/>
      </xdr:nvSpPr>
      <xdr:spPr>
        <a:xfrm>
          <a:off x="10683689" y="1303244"/>
          <a:ext cx="1658471" cy="6241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9052ED9-15B5-495B-8411-FAB47E25FB6F}" type="TxLink">
            <a:rPr lang="en-US" sz="1800" b="1" i="0" u="none" strike="noStrike">
              <a:solidFill>
                <a:srgbClr val="FFFFFF"/>
              </a:solidFill>
              <a:latin typeface="Calibri"/>
              <a:ea typeface="Calibri"/>
              <a:cs typeface="Calibri"/>
            </a:rPr>
            <a:pPr algn="ctr"/>
            <a:t>$78,830.85</a:t>
          </a:fld>
          <a:endParaRPr lang="en-AU" sz="1400" b="1">
            <a:solidFill>
              <a:schemeClr val="bg1"/>
            </a:solidFill>
            <a:latin typeface="Arial" panose="020B0604020202020204" pitchFamily="34" charset="0"/>
            <a:cs typeface="Arial" panose="020B0604020202020204" pitchFamily="34" charset="0"/>
          </a:endParaRPr>
        </a:p>
      </xdr:txBody>
    </xdr:sp>
    <xdr:clientData/>
  </xdr:twoCellAnchor>
  <xdr:twoCellAnchor>
    <xdr:from>
      <xdr:col>20</xdr:col>
      <xdr:colOff>587188</xdr:colOff>
      <xdr:row>9</xdr:row>
      <xdr:rowOff>74683</xdr:rowOff>
    </xdr:from>
    <xdr:to>
      <xdr:col>23</xdr:col>
      <xdr:colOff>494756</xdr:colOff>
      <xdr:row>12</xdr:row>
      <xdr:rowOff>107826</xdr:rowOff>
    </xdr:to>
    <xdr:sp macro="" textlink="">
      <xdr:nvSpPr>
        <xdr:cNvPr id="59" name="Freeform: Shape 58">
          <a:extLst>
            <a:ext uri="{FF2B5EF4-FFF2-40B4-BE49-F238E27FC236}">
              <a16:creationId xmlns:a16="http://schemas.microsoft.com/office/drawing/2014/main" id="{00000000-0008-0000-0500-00003B000000}"/>
            </a:ext>
          </a:extLst>
        </xdr:cNvPr>
        <xdr:cNvSpPr/>
      </xdr:nvSpPr>
      <xdr:spPr>
        <a:xfrm rot="570767">
          <a:off x="12689541" y="1789183"/>
          <a:ext cx="1722921" cy="604643"/>
        </a:xfrm>
        <a:custGeom>
          <a:avLst/>
          <a:gdLst>
            <a:gd name="connsiteX0" fmla="*/ 0 w 1722921"/>
            <a:gd name="connsiteY0" fmla="*/ 0 h 604643"/>
            <a:gd name="connsiteX1" fmla="*/ 1689877 w 1722921"/>
            <a:gd name="connsiteY1" fmla="*/ 0 h 604643"/>
            <a:gd name="connsiteX2" fmla="*/ 1720480 w 1722921"/>
            <a:gd name="connsiteY2" fmla="*/ 182628 h 604643"/>
            <a:gd name="connsiteX3" fmla="*/ 1576347 w 1722921"/>
            <a:gd name="connsiteY3" fmla="*/ 384790 h 604643"/>
            <a:gd name="connsiteX4" fmla="*/ 278922 w 1722921"/>
            <a:gd name="connsiteY4" fmla="*/ 602202 h 604643"/>
            <a:gd name="connsiteX5" fmla="*/ 76759 w 1722921"/>
            <a:gd name="connsiteY5" fmla="*/ 458069 h 604643"/>
            <a:gd name="connsiteX6" fmla="*/ 0 w 1722921"/>
            <a:gd name="connsiteY6" fmla="*/ 0 h 60464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722921" h="604643">
              <a:moveTo>
                <a:pt x="0" y="0"/>
              </a:moveTo>
              <a:lnTo>
                <a:pt x="1689877" y="0"/>
              </a:lnTo>
              <a:lnTo>
                <a:pt x="1720480" y="182628"/>
              </a:lnTo>
              <a:cubicBezTo>
                <a:pt x="1736504" y="278254"/>
                <a:pt x="1671973" y="368766"/>
                <a:pt x="1576347" y="384790"/>
              </a:cubicBezTo>
              <a:lnTo>
                <a:pt x="278922" y="602202"/>
              </a:lnTo>
              <a:cubicBezTo>
                <a:pt x="183295" y="618227"/>
                <a:pt x="92784" y="553696"/>
                <a:pt x="76759" y="458069"/>
              </a:cubicBezTo>
              <a:lnTo>
                <a:pt x="0" y="0"/>
              </a:lnTo>
              <a:close/>
            </a:path>
          </a:pathLst>
        </a:custGeom>
        <a:gradFill flip="none" rotWithShape="1">
          <a:gsLst>
            <a:gs pos="100000">
              <a:srgbClr val="00B050"/>
            </a:gs>
            <a:gs pos="37000">
              <a:srgbClr val="7030A0"/>
            </a:gs>
            <a:gs pos="66000">
              <a:schemeClr val="accent1">
                <a:lumMod val="75000"/>
                <a:alpha val="24000"/>
              </a:schemeClr>
            </a:gs>
            <a:gs pos="100000">
              <a:srgbClr val="00B050"/>
            </a:gs>
          </a:gsLst>
          <a:lin ang="2700000" scaled="1"/>
          <a:tileRect/>
        </a:gra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AU" sz="1100"/>
        </a:p>
      </xdr:txBody>
    </xdr:sp>
    <xdr:clientData/>
  </xdr:twoCellAnchor>
  <xdr:twoCellAnchor>
    <xdr:from>
      <xdr:col>21</xdr:col>
      <xdr:colOff>45060</xdr:colOff>
      <xdr:row>5</xdr:row>
      <xdr:rowOff>182656</xdr:rowOff>
    </xdr:from>
    <xdr:to>
      <xdr:col>23</xdr:col>
      <xdr:colOff>566440</xdr:colOff>
      <xdr:row>9</xdr:row>
      <xdr:rowOff>77175</xdr:rowOff>
    </xdr:to>
    <xdr:sp macro="" textlink="">
      <xdr:nvSpPr>
        <xdr:cNvPr id="60" name="Freeform: Shape 59">
          <a:extLst>
            <a:ext uri="{FF2B5EF4-FFF2-40B4-BE49-F238E27FC236}">
              <a16:creationId xmlns:a16="http://schemas.microsoft.com/office/drawing/2014/main" id="{00000000-0008-0000-0500-00003C000000}"/>
            </a:ext>
          </a:extLst>
        </xdr:cNvPr>
        <xdr:cNvSpPr/>
      </xdr:nvSpPr>
      <xdr:spPr>
        <a:xfrm rot="570767">
          <a:off x="12752531" y="1135156"/>
          <a:ext cx="1731615" cy="656519"/>
        </a:xfrm>
        <a:custGeom>
          <a:avLst/>
          <a:gdLst>
            <a:gd name="connsiteX0" fmla="*/ 146575 w 1731615"/>
            <a:gd name="connsiteY0" fmla="*/ 219853 h 656519"/>
            <a:gd name="connsiteX1" fmla="*/ 1444000 w 1731615"/>
            <a:gd name="connsiteY1" fmla="*/ 2441 h 656519"/>
            <a:gd name="connsiteX2" fmla="*/ 1646162 w 1731615"/>
            <a:gd name="connsiteY2" fmla="*/ 146574 h 656519"/>
            <a:gd name="connsiteX3" fmla="*/ 1731615 w 1731615"/>
            <a:gd name="connsiteY3" fmla="*/ 656519 h 656519"/>
            <a:gd name="connsiteX4" fmla="*/ 41738 w 1731615"/>
            <a:gd name="connsiteY4" fmla="*/ 656519 h 656519"/>
            <a:gd name="connsiteX5" fmla="*/ 2442 w 1731615"/>
            <a:gd name="connsiteY5" fmla="*/ 422016 h 656519"/>
            <a:gd name="connsiteX6" fmla="*/ 146575 w 1731615"/>
            <a:gd name="connsiteY6" fmla="*/ 219853 h 6565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731615" h="656519">
              <a:moveTo>
                <a:pt x="146575" y="219853"/>
              </a:moveTo>
              <a:lnTo>
                <a:pt x="1444000" y="2441"/>
              </a:lnTo>
              <a:cubicBezTo>
                <a:pt x="1539626" y="-13583"/>
                <a:pt x="1630138" y="50947"/>
                <a:pt x="1646162" y="146574"/>
              </a:cubicBezTo>
              <a:lnTo>
                <a:pt x="1731615" y="656519"/>
              </a:lnTo>
              <a:lnTo>
                <a:pt x="41738" y="656519"/>
              </a:lnTo>
              <a:lnTo>
                <a:pt x="2442" y="422016"/>
              </a:lnTo>
              <a:cubicBezTo>
                <a:pt x="-13583" y="326389"/>
                <a:pt x="50948" y="235877"/>
                <a:pt x="146575" y="219853"/>
              </a:cubicBezTo>
              <a:close/>
            </a:path>
          </a:pathLst>
        </a:custGeom>
        <a:solidFill>
          <a:schemeClr val="tx1"/>
        </a:soli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AU" sz="1100">
            <a:highlight>
              <a:srgbClr val="000000"/>
            </a:highlight>
          </a:endParaRPr>
        </a:p>
      </xdr:txBody>
    </xdr:sp>
    <xdr:clientData/>
  </xdr:twoCellAnchor>
  <xdr:twoCellAnchor>
    <xdr:from>
      <xdr:col>21</xdr:col>
      <xdr:colOff>82924</xdr:colOff>
      <xdr:row>6</xdr:row>
      <xdr:rowOff>160244</xdr:rowOff>
    </xdr:from>
    <xdr:to>
      <xdr:col>23</xdr:col>
      <xdr:colOff>531160</xdr:colOff>
      <xdr:row>10</xdr:row>
      <xdr:rowOff>22412</xdr:rowOff>
    </xdr:to>
    <xdr:sp macro="" textlink="'Current Holdings'!J25">
      <xdr:nvSpPr>
        <xdr:cNvPr id="61" name="TextBox 60">
          <a:extLst>
            <a:ext uri="{FF2B5EF4-FFF2-40B4-BE49-F238E27FC236}">
              <a16:creationId xmlns:a16="http://schemas.microsoft.com/office/drawing/2014/main" id="{00000000-0008-0000-0500-00003D000000}"/>
            </a:ext>
          </a:extLst>
        </xdr:cNvPr>
        <xdr:cNvSpPr txBox="1"/>
      </xdr:nvSpPr>
      <xdr:spPr>
        <a:xfrm>
          <a:off x="12790395" y="1303244"/>
          <a:ext cx="1658471" cy="6241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3AA945D-04AB-465B-BF82-5E2EB7E99674}" type="TxLink">
            <a:rPr lang="en-US" sz="1800" b="1" i="0" u="none" strike="noStrike">
              <a:solidFill>
                <a:srgbClr val="FFFFFF"/>
              </a:solidFill>
              <a:latin typeface="Calibri"/>
              <a:ea typeface="Calibri"/>
              <a:cs typeface="Calibri"/>
            </a:rPr>
            <a:pPr algn="ctr"/>
            <a:t>$113,005.09</a:t>
          </a:fld>
          <a:endParaRPr lang="en-AU" sz="1400" b="1">
            <a:solidFill>
              <a:schemeClr val="bg1"/>
            </a:solidFill>
            <a:latin typeface="Arial" panose="020B0604020202020204" pitchFamily="34" charset="0"/>
            <a:cs typeface="Arial" panose="020B0604020202020204" pitchFamily="34" charset="0"/>
          </a:endParaRPr>
        </a:p>
      </xdr:txBody>
    </xdr:sp>
    <xdr:clientData/>
  </xdr:twoCellAnchor>
  <xdr:twoCellAnchor>
    <xdr:from>
      <xdr:col>10</xdr:col>
      <xdr:colOff>587188</xdr:colOff>
      <xdr:row>10</xdr:row>
      <xdr:rowOff>81801</xdr:rowOff>
    </xdr:from>
    <xdr:to>
      <xdr:col>13</xdr:col>
      <xdr:colOff>430306</xdr:colOff>
      <xdr:row>11</xdr:row>
      <xdr:rowOff>182654</xdr:rowOff>
    </xdr:to>
    <xdr:sp macro="" textlink="">
      <xdr:nvSpPr>
        <xdr:cNvPr id="15360" name="TextBox 15359">
          <a:extLst>
            <a:ext uri="{FF2B5EF4-FFF2-40B4-BE49-F238E27FC236}">
              <a16:creationId xmlns:a16="http://schemas.microsoft.com/office/drawing/2014/main" id="{00000000-0008-0000-0500-0000003C0000}"/>
            </a:ext>
          </a:extLst>
        </xdr:cNvPr>
        <xdr:cNvSpPr txBox="1"/>
      </xdr:nvSpPr>
      <xdr:spPr>
        <a:xfrm>
          <a:off x="6638364" y="1986801"/>
          <a:ext cx="1658471" cy="291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AU" sz="12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cs typeface="Arial" panose="020B0604020202020204" pitchFamily="34" charset="0"/>
            </a:rPr>
            <a:t>Total Sold Upto date</a:t>
          </a:r>
        </a:p>
        <a:p>
          <a:pPr algn="l"/>
          <a:endParaRPr lang="en-AU" sz="1200" b="1" cap="none" spc="0" baseline="0">
            <a:ln w="0"/>
            <a:solidFill>
              <a:schemeClr val="bg1"/>
            </a:solidFill>
            <a:effectLst>
              <a:outerShdw blurRad="38100" dist="19050" dir="2700000" algn="tl" rotWithShape="0">
                <a:schemeClr val="dk1">
                  <a:alpha val="40000"/>
                </a:schemeClr>
              </a:outerShdw>
            </a:effectLst>
            <a:latin typeface="Agency FB" panose="020B0503020202020204" pitchFamily="34" charset="0"/>
            <a:cs typeface="Arial" panose="020B0604020202020204" pitchFamily="34" charset="0"/>
          </a:endParaRPr>
        </a:p>
        <a:p>
          <a:pPr algn="ctr"/>
          <a:endParaRPr lang="en-AU" sz="1400" b="1">
            <a:solidFill>
              <a:schemeClr val="bg1"/>
            </a:solidFill>
            <a:latin typeface="Arial" panose="020B0604020202020204" pitchFamily="34" charset="0"/>
            <a:cs typeface="Arial" panose="020B0604020202020204" pitchFamily="34" charset="0"/>
          </a:endParaRPr>
        </a:p>
      </xdr:txBody>
    </xdr:sp>
    <xdr:clientData/>
  </xdr:twoCellAnchor>
  <xdr:twoCellAnchor>
    <xdr:from>
      <xdr:col>14</xdr:col>
      <xdr:colOff>172570</xdr:colOff>
      <xdr:row>10</xdr:row>
      <xdr:rowOff>81801</xdr:rowOff>
    </xdr:from>
    <xdr:to>
      <xdr:col>17</xdr:col>
      <xdr:colOff>15688</xdr:colOff>
      <xdr:row>11</xdr:row>
      <xdr:rowOff>182654</xdr:rowOff>
    </xdr:to>
    <xdr:sp macro="" textlink="">
      <xdr:nvSpPr>
        <xdr:cNvPr id="15364" name="TextBox 15363">
          <a:extLst>
            <a:ext uri="{FF2B5EF4-FFF2-40B4-BE49-F238E27FC236}">
              <a16:creationId xmlns:a16="http://schemas.microsoft.com/office/drawing/2014/main" id="{00000000-0008-0000-0500-0000043C0000}"/>
            </a:ext>
          </a:extLst>
        </xdr:cNvPr>
        <xdr:cNvSpPr txBox="1"/>
      </xdr:nvSpPr>
      <xdr:spPr>
        <a:xfrm>
          <a:off x="8644217" y="1986801"/>
          <a:ext cx="1658471" cy="291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AU" sz="1200" b="1" cap="none" spc="0" baseline="0">
              <a:ln w="0"/>
              <a:solidFill>
                <a:schemeClr val="bg1"/>
              </a:solidFill>
              <a:effectLst>
                <a:outerShdw blurRad="38100" dist="19050" dir="2700000" algn="tl" rotWithShape="0">
                  <a:schemeClr val="dk1">
                    <a:alpha val="40000"/>
                  </a:schemeClr>
                </a:outerShdw>
              </a:effectLst>
              <a:latin typeface="Agency FB" panose="020B0503020202020204" pitchFamily="34" charset="0"/>
              <a:cs typeface="Arial" panose="020B0604020202020204" pitchFamily="34" charset="0"/>
            </a:rPr>
            <a:t>Total Purchased upto date</a:t>
          </a:r>
        </a:p>
        <a:p>
          <a:pPr algn="l"/>
          <a:endParaRPr lang="en-AU" sz="1200" b="1" cap="none" spc="0" baseline="0">
            <a:ln w="0"/>
            <a:solidFill>
              <a:schemeClr val="bg1"/>
            </a:solidFill>
            <a:effectLst>
              <a:outerShdw blurRad="38100" dist="19050" dir="2700000" algn="tl" rotWithShape="0">
                <a:schemeClr val="dk1">
                  <a:alpha val="40000"/>
                </a:schemeClr>
              </a:outerShdw>
            </a:effectLst>
            <a:latin typeface="Agency FB" panose="020B0503020202020204" pitchFamily="34" charset="0"/>
            <a:cs typeface="Arial" panose="020B0604020202020204" pitchFamily="34" charset="0"/>
          </a:endParaRPr>
        </a:p>
        <a:p>
          <a:pPr algn="l"/>
          <a:endParaRPr lang="en-AU" sz="1200" b="1" cap="none" spc="0" baseline="0">
            <a:ln w="0"/>
            <a:solidFill>
              <a:schemeClr val="bg1"/>
            </a:solidFill>
            <a:effectLst>
              <a:outerShdw blurRad="38100" dist="19050" dir="2700000" algn="tl" rotWithShape="0">
                <a:schemeClr val="dk1">
                  <a:alpha val="40000"/>
                </a:schemeClr>
              </a:outerShdw>
            </a:effectLst>
            <a:latin typeface="Agency FB" panose="020B0503020202020204" pitchFamily="34" charset="0"/>
            <a:cs typeface="Arial" panose="020B0604020202020204" pitchFamily="34" charset="0"/>
          </a:endParaRPr>
        </a:p>
        <a:p>
          <a:pPr algn="ctr"/>
          <a:endParaRPr lang="en-AU" sz="1400" b="1">
            <a:solidFill>
              <a:schemeClr val="bg1"/>
            </a:solidFill>
            <a:latin typeface="Arial" panose="020B0604020202020204" pitchFamily="34" charset="0"/>
            <a:cs typeface="Arial" panose="020B0604020202020204" pitchFamily="34" charset="0"/>
          </a:endParaRPr>
        </a:p>
      </xdr:txBody>
    </xdr:sp>
    <xdr:clientData/>
  </xdr:twoCellAnchor>
  <xdr:twoCellAnchor>
    <xdr:from>
      <xdr:col>17</xdr:col>
      <xdr:colOff>385482</xdr:colOff>
      <xdr:row>10</xdr:row>
      <xdr:rowOff>81801</xdr:rowOff>
    </xdr:from>
    <xdr:to>
      <xdr:col>20</xdr:col>
      <xdr:colOff>228600</xdr:colOff>
      <xdr:row>11</xdr:row>
      <xdr:rowOff>182654</xdr:rowOff>
    </xdr:to>
    <xdr:sp macro="" textlink="">
      <xdr:nvSpPr>
        <xdr:cNvPr id="15365" name="TextBox 15364">
          <a:extLst>
            <a:ext uri="{FF2B5EF4-FFF2-40B4-BE49-F238E27FC236}">
              <a16:creationId xmlns:a16="http://schemas.microsoft.com/office/drawing/2014/main" id="{00000000-0008-0000-0500-0000053C0000}"/>
            </a:ext>
          </a:extLst>
        </xdr:cNvPr>
        <xdr:cNvSpPr txBox="1"/>
      </xdr:nvSpPr>
      <xdr:spPr>
        <a:xfrm>
          <a:off x="10672482" y="1986801"/>
          <a:ext cx="1658471" cy="291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AU" sz="12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cs typeface="Arial" panose="020B0604020202020204" pitchFamily="34" charset="0"/>
            </a:rPr>
            <a:t>Unrealised P/L</a:t>
          </a:r>
          <a:endParaRPr lang="en-AU" sz="1200" b="1" cap="none" spc="0" baseline="0">
            <a:ln w="0"/>
            <a:solidFill>
              <a:schemeClr val="bg1"/>
            </a:solidFill>
            <a:effectLst>
              <a:outerShdw blurRad="38100" dist="19050" dir="2700000" algn="tl" rotWithShape="0">
                <a:schemeClr val="dk1">
                  <a:alpha val="40000"/>
                </a:schemeClr>
              </a:outerShdw>
            </a:effectLst>
            <a:latin typeface="Agency FB" panose="020B0503020202020204" pitchFamily="34" charset="0"/>
            <a:cs typeface="Arial" panose="020B0604020202020204" pitchFamily="34" charset="0"/>
          </a:endParaRPr>
        </a:p>
        <a:p>
          <a:pPr algn="ctr"/>
          <a:endParaRPr lang="en-AU" sz="1400" b="1">
            <a:solidFill>
              <a:schemeClr val="bg1"/>
            </a:solidFill>
            <a:latin typeface="Arial" panose="020B0604020202020204" pitchFamily="34" charset="0"/>
            <a:cs typeface="Arial" panose="020B0604020202020204" pitchFamily="34" charset="0"/>
          </a:endParaRPr>
        </a:p>
      </xdr:txBody>
    </xdr:sp>
    <xdr:clientData/>
  </xdr:twoCellAnchor>
  <xdr:twoCellAnchor>
    <xdr:from>
      <xdr:col>21</xdr:col>
      <xdr:colOff>105335</xdr:colOff>
      <xdr:row>10</xdr:row>
      <xdr:rowOff>81801</xdr:rowOff>
    </xdr:from>
    <xdr:to>
      <xdr:col>23</xdr:col>
      <xdr:colOff>553571</xdr:colOff>
      <xdr:row>11</xdr:row>
      <xdr:rowOff>182654</xdr:rowOff>
    </xdr:to>
    <xdr:sp macro="" textlink="">
      <xdr:nvSpPr>
        <xdr:cNvPr id="15366" name="TextBox 15365">
          <a:extLst>
            <a:ext uri="{FF2B5EF4-FFF2-40B4-BE49-F238E27FC236}">
              <a16:creationId xmlns:a16="http://schemas.microsoft.com/office/drawing/2014/main" id="{00000000-0008-0000-0500-0000063C0000}"/>
            </a:ext>
          </a:extLst>
        </xdr:cNvPr>
        <xdr:cNvSpPr txBox="1"/>
      </xdr:nvSpPr>
      <xdr:spPr>
        <a:xfrm>
          <a:off x="12812806" y="1986801"/>
          <a:ext cx="1658471" cy="291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AU" sz="12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cs typeface="Arial" panose="020B0604020202020204" pitchFamily="34" charset="0"/>
            </a:rPr>
            <a:t>Total Portfolio Value</a:t>
          </a:r>
        </a:p>
        <a:p>
          <a:pPr algn="l"/>
          <a:endParaRPr lang="en-AU" sz="1200" b="1" cap="none" spc="0" baseline="0">
            <a:ln w="0"/>
            <a:solidFill>
              <a:schemeClr val="bg1"/>
            </a:solidFill>
            <a:effectLst>
              <a:outerShdw blurRad="38100" dist="19050" dir="2700000" algn="tl" rotWithShape="0">
                <a:schemeClr val="dk1">
                  <a:alpha val="40000"/>
                </a:schemeClr>
              </a:outerShdw>
            </a:effectLst>
            <a:latin typeface="Agency FB" panose="020B0503020202020204" pitchFamily="34" charset="0"/>
            <a:cs typeface="Arial" panose="020B0604020202020204" pitchFamily="34" charset="0"/>
          </a:endParaRPr>
        </a:p>
        <a:p>
          <a:pPr algn="ctr"/>
          <a:endParaRPr lang="en-AU" sz="1400" b="1">
            <a:solidFill>
              <a:schemeClr val="bg1"/>
            </a:solidFill>
            <a:latin typeface="Arial" panose="020B0604020202020204" pitchFamily="34" charset="0"/>
            <a:cs typeface="Arial" panose="020B0604020202020204" pitchFamily="34" charset="0"/>
          </a:endParaRPr>
        </a:p>
      </xdr:txBody>
    </xdr:sp>
    <xdr:clientData/>
  </xdr:twoCellAnchor>
  <xdr:twoCellAnchor>
    <xdr:from>
      <xdr:col>24</xdr:col>
      <xdr:colOff>161363</xdr:colOff>
      <xdr:row>5</xdr:row>
      <xdr:rowOff>182655</xdr:rowOff>
    </xdr:from>
    <xdr:to>
      <xdr:col>27</xdr:col>
      <xdr:colOff>77626</xdr:colOff>
      <xdr:row>9</xdr:row>
      <xdr:rowOff>77174</xdr:rowOff>
    </xdr:to>
    <xdr:sp macro="" textlink="">
      <xdr:nvSpPr>
        <xdr:cNvPr id="15370" name="Freeform: Shape 15369">
          <a:extLst>
            <a:ext uri="{FF2B5EF4-FFF2-40B4-BE49-F238E27FC236}">
              <a16:creationId xmlns:a16="http://schemas.microsoft.com/office/drawing/2014/main" id="{00000000-0008-0000-0500-00000A3C0000}"/>
            </a:ext>
          </a:extLst>
        </xdr:cNvPr>
        <xdr:cNvSpPr/>
      </xdr:nvSpPr>
      <xdr:spPr>
        <a:xfrm rot="570767">
          <a:off x="14684187" y="1135155"/>
          <a:ext cx="1731615" cy="656519"/>
        </a:xfrm>
        <a:custGeom>
          <a:avLst/>
          <a:gdLst>
            <a:gd name="connsiteX0" fmla="*/ 146575 w 1731615"/>
            <a:gd name="connsiteY0" fmla="*/ 219853 h 656519"/>
            <a:gd name="connsiteX1" fmla="*/ 1444000 w 1731615"/>
            <a:gd name="connsiteY1" fmla="*/ 2441 h 656519"/>
            <a:gd name="connsiteX2" fmla="*/ 1646162 w 1731615"/>
            <a:gd name="connsiteY2" fmla="*/ 146574 h 656519"/>
            <a:gd name="connsiteX3" fmla="*/ 1731615 w 1731615"/>
            <a:gd name="connsiteY3" fmla="*/ 656519 h 656519"/>
            <a:gd name="connsiteX4" fmla="*/ 41738 w 1731615"/>
            <a:gd name="connsiteY4" fmla="*/ 656519 h 656519"/>
            <a:gd name="connsiteX5" fmla="*/ 2442 w 1731615"/>
            <a:gd name="connsiteY5" fmla="*/ 422016 h 656519"/>
            <a:gd name="connsiteX6" fmla="*/ 146575 w 1731615"/>
            <a:gd name="connsiteY6" fmla="*/ 219853 h 6565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731615" h="656519">
              <a:moveTo>
                <a:pt x="146575" y="219853"/>
              </a:moveTo>
              <a:lnTo>
                <a:pt x="1444000" y="2441"/>
              </a:lnTo>
              <a:cubicBezTo>
                <a:pt x="1539626" y="-13583"/>
                <a:pt x="1630138" y="50947"/>
                <a:pt x="1646162" y="146574"/>
              </a:cubicBezTo>
              <a:lnTo>
                <a:pt x="1731615" y="656519"/>
              </a:lnTo>
              <a:lnTo>
                <a:pt x="41738" y="656519"/>
              </a:lnTo>
              <a:lnTo>
                <a:pt x="2442" y="422016"/>
              </a:lnTo>
              <a:cubicBezTo>
                <a:pt x="-13583" y="326389"/>
                <a:pt x="50948" y="235877"/>
                <a:pt x="146575" y="219853"/>
              </a:cubicBezTo>
              <a:close/>
            </a:path>
          </a:pathLst>
        </a:custGeom>
        <a:solidFill>
          <a:schemeClr val="tx1"/>
        </a:soli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AU" sz="1100">
            <a:highlight>
              <a:srgbClr val="000000"/>
            </a:highlight>
          </a:endParaRPr>
        </a:p>
      </xdr:txBody>
    </xdr:sp>
    <xdr:clientData/>
  </xdr:twoCellAnchor>
  <xdr:twoCellAnchor>
    <xdr:from>
      <xdr:col>24</xdr:col>
      <xdr:colOff>244049</xdr:colOff>
      <xdr:row>10</xdr:row>
      <xdr:rowOff>93006</xdr:rowOff>
    </xdr:from>
    <xdr:to>
      <xdr:col>27</xdr:col>
      <xdr:colOff>87168</xdr:colOff>
      <xdr:row>12</xdr:row>
      <xdr:rowOff>3359</xdr:rowOff>
    </xdr:to>
    <xdr:sp macro="" textlink="">
      <xdr:nvSpPr>
        <xdr:cNvPr id="15372" name="TextBox 15371">
          <a:extLst>
            <a:ext uri="{FF2B5EF4-FFF2-40B4-BE49-F238E27FC236}">
              <a16:creationId xmlns:a16="http://schemas.microsoft.com/office/drawing/2014/main" id="{00000000-0008-0000-0500-00000C3C0000}"/>
            </a:ext>
          </a:extLst>
        </xdr:cNvPr>
        <xdr:cNvSpPr txBox="1"/>
      </xdr:nvSpPr>
      <xdr:spPr>
        <a:xfrm>
          <a:off x="14766873" y="1998006"/>
          <a:ext cx="1658471" cy="291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AU" sz="12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cs typeface="Arial" panose="020B0604020202020204" pitchFamily="34" charset="0"/>
            </a:rPr>
            <a:t>Total Gain/Loss</a:t>
          </a:r>
        </a:p>
        <a:p>
          <a:pPr algn="l"/>
          <a:endParaRPr lang="en-AU" sz="12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cs typeface="Arial" panose="020B0604020202020204" pitchFamily="34" charset="0"/>
          </a:endParaRPr>
        </a:p>
        <a:p>
          <a:pPr algn="l"/>
          <a:endParaRPr lang="en-AU" sz="1200" b="1" cap="none" spc="0" baseline="0">
            <a:ln w="0"/>
            <a:solidFill>
              <a:schemeClr val="bg1"/>
            </a:solidFill>
            <a:effectLst>
              <a:outerShdw blurRad="38100" dist="19050" dir="2700000" algn="tl" rotWithShape="0">
                <a:schemeClr val="dk1">
                  <a:alpha val="40000"/>
                </a:schemeClr>
              </a:outerShdw>
            </a:effectLst>
            <a:latin typeface="Agency FB" panose="020B0503020202020204" pitchFamily="34" charset="0"/>
            <a:cs typeface="Arial" panose="020B0604020202020204" pitchFamily="34" charset="0"/>
          </a:endParaRPr>
        </a:p>
        <a:p>
          <a:pPr algn="ctr"/>
          <a:endParaRPr lang="en-AU" sz="1400" b="1">
            <a:solidFill>
              <a:schemeClr val="bg1"/>
            </a:solidFill>
            <a:latin typeface="Arial" panose="020B0604020202020204" pitchFamily="34" charset="0"/>
            <a:cs typeface="Arial" panose="020B0604020202020204" pitchFamily="34" charset="0"/>
          </a:endParaRPr>
        </a:p>
      </xdr:txBody>
    </xdr:sp>
    <xdr:clientData/>
  </xdr:twoCellAnchor>
  <xdr:twoCellAnchor>
    <xdr:from>
      <xdr:col>24</xdr:col>
      <xdr:colOff>150158</xdr:colOff>
      <xdr:row>6</xdr:row>
      <xdr:rowOff>112059</xdr:rowOff>
    </xdr:from>
    <xdr:to>
      <xdr:col>26</xdr:col>
      <xdr:colOff>598394</xdr:colOff>
      <xdr:row>9</xdr:row>
      <xdr:rowOff>164727</xdr:rowOff>
    </xdr:to>
    <xdr:sp macro="" textlink="Calculations!CJ2">
      <xdr:nvSpPr>
        <xdr:cNvPr id="15374" name="TextBox 15373">
          <a:extLst>
            <a:ext uri="{FF2B5EF4-FFF2-40B4-BE49-F238E27FC236}">
              <a16:creationId xmlns:a16="http://schemas.microsoft.com/office/drawing/2014/main" id="{00000000-0008-0000-0500-00000E3C0000}"/>
            </a:ext>
          </a:extLst>
        </xdr:cNvPr>
        <xdr:cNvSpPr txBox="1"/>
      </xdr:nvSpPr>
      <xdr:spPr>
        <a:xfrm>
          <a:off x="14672982" y="1255059"/>
          <a:ext cx="1658471" cy="6241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9F7D0B5-66FC-440C-A896-DE52EC222E53}" type="TxLink">
            <a:rPr lang="en-US" sz="1800" b="1" i="0" u="none" strike="noStrike">
              <a:solidFill>
                <a:srgbClr val="FFFFFF"/>
              </a:solidFill>
              <a:latin typeface="Calibri"/>
              <a:ea typeface="Calibri"/>
              <a:cs typeface="Calibri"/>
            </a:rPr>
            <a:pPr marL="0" indent="0" algn="ctr"/>
            <a:t>-$69,019.88</a:t>
          </a:fld>
          <a:endParaRPr lang="en-AU" sz="1800" b="1" i="0" u="none" strike="noStrike">
            <a:solidFill>
              <a:srgbClr val="FFFFFF"/>
            </a:solidFill>
            <a:latin typeface="Calibri"/>
            <a:ea typeface="Calibri"/>
            <a:cs typeface="Calibri"/>
          </a:endParaRPr>
        </a:p>
      </xdr:txBody>
    </xdr:sp>
    <xdr:clientData/>
  </xdr:twoCellAnchor>
  <xdr:twoCellAnchor>
    <xdr:from>
      <xdr:col>1</xdr:col>
      <xdr:colOff>593911</xdr:colOff>
      <xdr:row>14</xdr:row>
      <xdr:rowOff>112058</xdr:rowOff>
    </xdr:from>
    <xdr:to>
      <xdr:col>12</xdr:col>
      <xdr:colOff>582706</xdr:colOff>
      <xdr:row>37</xdr:row>
      <xdr:rowOff>168087</xdr:rowOff>
    </xdr:to>
    <xdr:sp macro="" textlink="">
      <xdr:nvSpPr>
        <xdr:cNvPr id="15377" name="Rectangle: Rounded Corners 15376">
          <a:extLst>
            <a:ext uri="{FF2B5EF4-FFF2-40B4-BE49-F238E27FC236}">
              <a16:creationId xmlns:a16="http://schemas.microsoft.com/office/drawing/2014/main" id="{00000000-0008-0000-0500-0000113C0000}"/>
            </a:ext>
          </a:extLst>
        </xdr:cNvPr>
        <xdr:cNvSpPr/>
      </xdr:nvSpPr>
      <xdr:spPr>
        <a:xfrm>
          <a:off x="1199029" y="2779058"/>
          <a:ext cx="6645089" cy="4437529"/>
        </a:xfrm>
        <a:prstGeom prst="roundRect">
          <a:avLst/>
        </a:prstGeom>
        <a:gradFill>
          <a:gsLst>
            <a:gs pos="94000">
              <a:srgbClr val="2F292D"/>
            </a:gs>
            <a:gs pos="0">
              <a:srgbClr val="232227"/>
            </a:gs>
            <a:gs pos="27000">
              <a:schemeClr val="accent5">
                <a:lumMod val="45000"/>
                <a:lumOff val="55000"/>
              </a:schemeClr>
            </a:gs>
            <a:gs pos="70000">
              <a:srgbClr val="2F292D"/>
            </a:gs>
          </a:gsLst>
          <a:lin ang="2700000" scaled="0"/>
        </a:gradFill>
        <a:ln>
          <a:solidFill>
            <a:schemeClr val="accent1"/>
          </a:solid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xdr:col>
      <xdr:colOff>156883</xdr:colOff>
      <xdr:row>15</xdr:row>
      <xdr:rowOff>179294</xdr:rowOff>
    </xdr:from>
    <xdr:to>
      <xdr:col>12</xdr:col>
      <xdr:colOff>381000</xdr:colOff>
      <xdr:row>36</xdr:row>
      <xdr:rowOff>112059</xdr:rowOff>
    </xdr:to>
    <xdr:sp macro="" textlink="">
      <xdr:nvSpPr>
        <xdr:cNvPr id="15378" name="TextBox 15377">
          <a:extLst>
            <a:ext uri="{FF2B5EF4-FFF2-40B4-BE49-F238E27FC236}">
              <a16:creationId xmlns:a16="http://schemas.microsoft.com/office/drawing/2014/main" id="{00000000-0008-0000-0500-0000123C0000}"/>
            </a:ext>
          </a:extLst>
        </xdr:cNvPr>
        <xdr:cNvSpPr txBox="1"/>
      </xdr:nvSpPr>
      <xdr:spPr>
        <a:xfrm>
          <a:off x="1367118" y="3036794"/>
          <a:ext cx="6275294" cy="3933265"/>
        </a:xfrm>
        <a:prstGeom prst="rect">
          <a:avLst/>
        </a:prstGeom>
        <a:gradFill>
          <a:gsLst>
            <a:gs pos="94000">
              <a:srgbClr val="2F292D">
                <a:lumMod val="99000"/>
                <a:alpha val="95000"/>
              </a:srgbClr>
            </a:gs>
            <a:gs pos="2000">
              <a:srgbClr val="232227"/>
            </a:gs>
            <a:gs pos="55000">
              <a:schemeClr val="accent5">
                <a:lumMod val="45000"/>
                <a:lumOff val="55000"/>
              </a:schemeClr>
            </a:gs>
            <a:gs pos="70000">
              <a:srgbClr val="2F292D"/>
            </a:gs>
          </a:gsLst>
          <a:lin ang="2700000" scaled="0"/>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AU"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shil dhakal" refreshedDate="44979.654755208336" createdVersion="8" refreshedVersion="8" minRefreshableVersion="3" recordCount="42" xr:uid="{B9D3EEFB-9329-45FA-AFC2-858A0C619284}">
  <cacheSource type="worksheet">
    <worksheetSource ref="AC1:AN43" sheet="Calculations"/>
  </cacheSource>
  <cacheFields count="14">
    <cacheField name="Stock" numFmtId="0">
      <sharedItems count="20">
        <s v="3DP"/>
        <s v="4DX"/>
        <s v="ANL"/>
        <s v="ANW"/>
        <s v="BUB"/>
        <s v="BUD"/>
        <s v="CBA"/>
        <s v="CCE"/>
        <s v="DUG"/>
        <s v="FFF"/>
        <s v="ICG"/>
        <s v="MKR"/>
        <s v="NDQ"/>
        <s v="PYR"/>
        <s v="RLT"/>
        <s v="SHG"/>
        <s v="SYA"/>
        <s v="SYI"/>
        <s v="TNT"/>
        <s v="VML"/>
      </sharedItems>
    </cacheField>
    <cacheField name="Order Date" numFmtId="14">
      <sharedItems containsSemiMixedTypes="0" containsNonDate="0" containsDate="1" containsString="0" minDate="2018-09-02T00:00:00" maxDate="2022-02-16T00:00:00" count="39">
        <d v="2021-01-04T00:00:00"/>
        <d v="2020-08-07T00:00:00"/>
        <d v="2020-09-28T00:00:00"/>
        <d v="2020-09-14T00:00:00"/>
        <d v="2020-09-24T00:00:00"/>
        <d v="2019-04-30T00:00:00"/>
        <d v="2020-01-28T00:00:00"/>
        <d v="2020-02-06T00:00:00"/>
        <d v="2020-09-18T00:00:00"/>
        <d v="2020-09-25T00:00:00"/>
        <d v="2020-10-02T00:00:00"/>
        <d v="2020-11-06T00:00:00"/>
        <d v="2021-01-05T00:00:00"/>
        <d v="2021-02-15T00:00:00"/>
        <d v="2021-03-29T00:00:00"/>
        <d v="2021-04-22T00:00:00"/>
        <d v="2021-05-11T00:00:00"/>
        <d v="2021-11-23T00:00:00"/>
        <d v="2019-06-25T00:00:00"/>
        <d v="2019-09-02T00:00:00"/>
        <d v="2019-09-26T00:00:00"/>
        <d v="2019-10-04T00:00:00"/>
        <d v="2019-10-25T00:00:00"/>
        <d v="2020-03-12T00:00:00"/>
        <d v="2021-08-11T00:00:00"/>
        <d v="2022-02-15T00:00:00"/>
        <d v="2018-09-02T00:00:00"/>
        <d v="2020-10-01T00:00:00"/>
        <d v="2020-08-12T00:00:00"/>
        <d v="2020-08-31T00:00:00"/>
        <d v="2020-09-08T00:00:00"/>
        <d v="2020-03-23T00:00:00"/>
        <d v="2020-07-22T00:00:00"/>
        <d v="2020-12-08T00:00:00"/>
        <d v="2021-02-18T00:00:00"/>
        <d v="2021-01-25T00:00:00"/>
        <d v="2021-02-17T00:00:00"/>
        <d v="2021-02-16T00:00:00"/>
        <d v="2020-11-26T00:00:00"/>
      </sharedItems>
      <fieldGroup par="13" base="1">
        <rangePr groupBy="months" startDate="2018-09-02T00:00:00" endDate="2022-02-16T00:00:00"/>
        <groupItems count="14">
          <s v="&lt;2/09/2018"/>
          <s v="Jan"/>
          <s v="Feb"/>
          <s v="Mar"/>
          <s v="Apr"/>
          <s v="May"/>
          <s v="Jun"/>
          <s v="Jul"/>
          <s v="Aug"/>
          <s v="Sep"/>
          <s v="Oct"/>
          <s v="Nov"/>
          <s v="Dec"/>
          <s v="&gt;16/02/2022"/>
        </groupItems>
      </fieldGroup>
    </cacheField>
    <cacheField name="Qty" numFmtId="2">
      <sharedItems containsSemiMixedTypes="0" containsString="0" containsNumber="1" containsInteger="1" minValue="26" maxValue="5000000"/>
    </cacheField>
    <cacheField name="Price" numFmtId="164">
      <sharedItems containsSemiMixedTypes="0" containsString="0" containsNumber="1" minValue="1E-3" maxValue="75.8"/>
    </cacheField>
    <cacheField name="Value" numFmtId="164">
      <sharedItems containsSemiMixedTypes="0" containsString="0" containsNumber="1" minValue="489.96" maxValue="5000"/>
    </cacheField>
    <cacheField name="Charges" numFmtId="164">
      <sharedItems containsSemiMixedTypes="0" containsString="0" containsNumber="1" minValue="3.94" maxValue="20"/>
    </cacheField>
    <cacheField name="Erlier Bought" numFmtId="0">
      <sharedItems containsSemiMixedTypes="0" containsString="0" containsNumber="1" containsInteger="1" minValue="0" maxValue="5000000"/>
    </cacheField>
    <cacheField name="Total Sold" numFmtId="2">
      <sharedItems containsSemiMixedTypes="0" containsString="0" containsNumber="1" containsInteger="1" minValue="0" maxValue="10000000"/>
    </cacheField>
    <cacheField name="Holding Qty" numFmtId="0">
      <sharedItems containsSemiMixedTypes="0" containsString="0" containsNumber="1" containsInteger="1" minValue="0" maxValue="500000"/>
    </cacheField>
    <cacheField name="Holding Value" numFmtId="0">
      <sharedItems containsSemiMixedTypes="0" containsString="0" containsNumber="1" minValue="0" maxValue="4999.5999999999995"/>
    </cacheField>
    <cacheField name="Charges (H)" numFmtId="0">
      <sharedItems containsSemiMixedTypes="0" containsString="0" containsNumber="1" minValue="0" maxValue="19.96"/>
    </cacheField>
    <cacheField name="Long Term" numFmtId="0">
      <sharedItems/>
    </cacheField>
    <cacheField name="Quarters" numFmtId="0" databaseField="0">
      <fieldGroup base="1">
        <rangePr groupBy="quarters" startDate="2018-09-02T00:00:00" endDate="2022-02-16T00:00:00"/>
        <groupItems count="6">
          <s v="&lt;2/09/2018"/>
          <s v="Qtr1"/>
          <s v="Qtr2"/>
          <s v="Qtr3"/>
          <s v="Qtr4"/>
          <s v="&gt;16/02/2022"/>
        </groupItems>
      </fieldGroup>
    </cacheField>
    <cacheField name="Years" numFmtId="0" databaseField="0">
      <fieldGroup base="1">
        <rangePr groupBy="years" startDate="2018-09-02T00:00:00" endDate="2022-02-16T00:00:00"/>
        <groupItems count="7">
          <s v="&lt;2/09/2018"/>
          <s v="2018"/>
          <s v="2019"/>
          <s v="2020"/>
          <s v="2021"/>
          <s v="2022"/>
          <s v="&gt;16/02/2022"/>
        </groupItems>
      </fieldGroup>
    </cacheField>
  </cacheFields>
  <extLst>
    <ext xmlns:x14="http://schemas.microsoft.com/office/spreadsheetml/2009/9/main" uri="{725AE2AE-9491-48be-B2B4-4EB974FC3084}">
      <x14:pivotCacheDefinition pivotCacheId="164393096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
  <r>
    <x v="0"/>
    <x v="0"/>
    <n v="3846"/>
    <n v="0.52"/>
    <n v="1999.92"/>
    <n v="19.95"/>
    <n v="0"/>
    <n v="0"/>
    <n v="3846"/>
    <n v="1999.92"/>
    <n v="19.95"/>
    <s v="Long Term"/>
  </r>
  <r>
    <x v="1"/>
    <x v="1"/>
    <n v="769"/>
    <n v="1.3"/>
    <n v="999.7"/>
    <n v="10"/>
    <n v="0"/>
    <n v="769"/>
    <n v="0"/>
    <n v="0"/>
    <n v="0"/>
    <s v="Short Term"/>
  </r>
  <r>
    <x v="2"/>
    <x v="2"/>
    <n v="1500000"/>
    <n v="2E-3"/>
    <n v="3000"/>
    <n v="19.95"/>
    <n v="0"/>
    <n v="1000000"/>
    <n v="500000"/>
    <n v="1000"/>
    <n v="6.6499999999999995"/>
    <s v="Long Term"/>
  </r>
  <r>
    <x v="3"/>
    <x v="3"/>
    <n v="5000000"/>
    <n v="1E-3"/>
    <n v="5000"/>
    <n v="19.95"/>
    <n v="0"/>
    <n v="10000000"/>
    <n v="0"/>
    <n v="0"/>
    <n v="0"/>
    <s v="Short Term"/>
  </r>
  <r>
    <x v="3"/>
    <x v="4"/>
    <n v="5000000"/>
    <n v="1E-3"/>
    <n v="5000"/>
    <n v="19.95"/>
    <n v="5000000"/>
    <n v="10000000"/>
    <n v="0"/>
    <n v="0"/>
    <n v="0"/>
    <s v="Short Term"/>
  </r>
  <r>
    <x v="4"/>
    <x v="5"/>
    <n v="1600"/>
    <n v="1.23"/>
    <n v="1968"/>
    <n v="19.95"/>
    <n v="0"/>
    <n v="9348"/>
    <n v="0"/>
    <n v="0"/>
    <n v="0"/>
    <s v="Short Term"/>
  </r>
  <r>
    <x v="4"/>
    <x v="6"/>
    <n v="1914"/>
    <n v="0.94"/>
    <n v="1799.1599999999999"/>
    <n v="19.96"/>
    <n v="1600"/>
    <n v="9348"/>
    <n v="0"/>
    <n v="0"/>
    <n v="0"/>
    <s v="Short Term"/>
  </r>
  <r>
    <x v="4"/>
    <x v="7"/>
    <n v="2702"/>
    <n v="0.73"/>
    <n v="1972.46"/>
    <n v="19.96"/>
    <n v="3514"/>
    <n v="9348"/>
    <n v="0"/>
    <n v="0"/>
    <n v="0"/>
    <s v="Short Term"/>
  </r>
  <r>
    <x v="4"/>
    <x v="8"/>
    <n v="3821"/>
    <n v="0.78500000000000003"/>
    <n v="2999.4850000000001"/>
    <n v="19.96"/>
    <n v="6216"/>
    <n v="9348"/>
    <n v="689"/>
    <n v="540.86500000000001"/>
    <n v="3.5991729913635173"/>
    <s v="Long Term"/>
  </r>
  <r>
    <x v="4"/>
    <x v="9"/>
    <n v="3973"/>
    <n v="0.755"/>
    <n v="2999.6150000000002"/>
    <n v="19.96"/>
    <n v="10037"/>
    <n v="9348"/>
    <n v="3973"/>
    <n v="2999.6150000000002"/>
    <n v="19.96"/>
    <s v="Long Term"/>
  </r>
  <r>
    <x v="4"/>
    <x v="10"/>
    <n v="6896"/>
    <n v="0.72499999999999998"/>
    <n v="4999.5999999999995"/>
    <n v="19.95"/>
    <n v="14010"/>
    <n v="9348"/>
    <n v="6896"/>
    <n v="4999.5999999999995"/>
    <n v="19.95"/>
    <s v="Long Term"/>
  </r>
  <r>
    <x v="4"/>
    <x v="11"/>
    <n v="3021"/>
    <n v="0.66"/>
    <n v="1993.8600000000001"/>
    <n v="5"/>
    <n v="20906"/>
    <n v="9348"/>
    <n v="3021"/>
    <n v="1993.8600000000001"/>
    <n v="5"/>
    <s v="Long Term"/>
  </r>
  <r>
    <x v="4"/>
    <x v="12"/>
    <n v="5042"/>
    <n v="0.59499999999999997"/>
    <n v="2999.99"/>
    <n v="19.95"/>
    <n v="23927"/>
    <n v="9348"/>
    <n v="5042"/>
    <n v="2999.99"/>
    <n v="19.95"/>
    <s v="Long Term"/>
  </r>
  <r>
    <x v="4"/>
    <x v="13"/>
    <n v="3429"/>
    <n v="0.60499999999999998"/>
    <n v="2074.5450000000001"/>
    <n v="5.01"/>
    <n v="28969"/>
    <n v="9348"/>
    <n v="3429"/>
    <n v="2074.5450000000001"/>
    <n v="5.01"/>
    <s v="Long Term"/>
  </r>
  <r>
    <x v="4"/>
    <x v="14"/>
    <n v="6000"/>
    <n v="0.51"/>
    <n v="3060"/>
    <n v="19.95"/>
    <n v="32398"/>
    <n v="9348"/>
    <n v="6000"/>
    <n v="3060"/>
    <n v="19.95"/>
    <s v="Long Term"/>
  </r>
  <r>
    <x v="4"/>
    <x v="15"/>
    <n v="2150"/>
    <n v="0.46500000000000002"/>
    <n v="999.75"/>
    <n v="10"/>
    <n v="38398"/>
    <n v="9348"/>
    <n v="2150"/>
    <n v="999.75"/>
    <n v="10"/>
    <s v="Long Term"/>
  </r>
  <r>
    <x v="4"/>
    <x v="16"/>
    <n v="2898"/>
    <n v="0.33"/>
    <n v="956.34"/>
    <n v="10"/>
    <n v="40548"/>
    <n v="9348"/>
    <n v="2898"/>
    <n v="956.34"/>
    <n v="10"/>
    <s v="Long Term"/>
  </r>
  <r>
    <x v="4"/>
    <x v="17"/>
    <n v="3703"/>
    <n v="0.54"/>
    <n v="1999.6200000000001"/>
    <n v="19.95"/>
    <n v="43446"/>
    <n v="9348"/>
    <n v="3703"/>
    <n v="1999.6200000000001"/>
    <n v="19.95"/>
    <s v="Long Term"/>
  </r>
  <r>
    <x v="5"/>
    <x v="18"/>
    <n v="10888"/>
    <n v="4.4999999999999998E-2"/>
    <n v="489.96"/>
    <n v="10"/>
    <n v="0"/>
    <n v="200659"/>
    <n v="0"/>
    <n v="0"/>
    <n v="0"/>
    <s v="Short Term"/>
  </r>
  <r>
    <x v="5"/>
    <x v="19"/>
    <n v="35357"/>
    <n v="2.8000000000000001E-2"/>
    <n v="989.99599999999998"/>
    <n v="10"/>
    <n v="10888"/>
    <n v="200659"/>
    <n v="0"/>
    <n v="0"/>
    <n v="0"/>
    <s v="Short Term"/>
  </r>
  <r>
    <x v="5"/>
    <x v="20"/>
    <n v="30000"/>
    <n v="0.02"/>
    <n v="600"/>
    <n v="10"/>
    <n v="46245"/>
    <n v="200659"/>
    <n v="0"/>
    <n v="0"/>
    <n v="0"/>
    <s v="Short Term"/>
  </r>
  <r>
    <x v="5"/>
    <x v="21"/>
    <n v="27791"/>
    <n v="7.1999999999999995E-2"/>
    <n v="2000.9519999999998"/>
    <n v="19.95"/>
    <n v="76245"/>
    <n v="200659"/>
    <n v="0"/>
    <n v="0"/>
    <n v="0"/>
    <s v="Short Term"/>
  </r>
  <r>
    <x v="5"/>
    <x v="22"/>
    <n v="66315"/>
    <n v="1.9E-2"/>
    <n v="1259.9849999999999"/>
    <n v="19.96"/>
    <n v="104036"/>
    <n v="200659"/>
    <n v="0"/>
    <n v="0"/>
    <n v="0"/>
    <s v="Short Term"/>
  </r>
  <r>
    <x v="5"/>
    <x v="23"/>
    <n v="130308"/>
    <n v="1.55E-2"/>
    <n v="2019.7739999999999"/>
    <n v="20"/>
    <n v="170351"/>
    <n v="200659"/>
    <n v="100000"/>
    <n v="1550"/>
    <n v="15.348251834116095"/>
    <s v="Long Term"/>
  </r>
  <r>
    <x v="5"/>
    <x v="24"/>
    <n v="66666"/>
    <n v="1.4999999999999999E-2"/>
    <n v="999.99"/>
    <n v="10"/>
    <n v="300659"/>
    <n v="200659"/>
    <n v="66666"/>
    <n v="999.99"/>
    <n v="10"/>
    <s v="Long Term"/>
  </r>
  <r>
    <x v="5"/>
    <x v="25"/>
    <n v="222222"/>
    <n v="8.9999999999999993E-3"/>
    <n v="1999.9979999999998"/>
    <n v="19.95"/>
    <n v="367325"/>
    <n v="200659"/>
    <n v="222222"/>
    <n v="1999.9979999999998"/>
    <n v="19.95"/>
    <s v="Long Term"/>
  </r>
  <r>
    <x v="6"/>
    <x v="26"/>
    <n v="26"/>
    <n v="75.8"/>
    <n v="1970.8"/>
    <n v="19.95"/>
    <n v="0"/>
    <n v="26"/>
    <n v="0"/>
    <n v="0"/>
    <n v="0"/>
    <s v="Short Term"/>
  </r>
  <r>
    <x v="7"/>
    <x v="27"/>
    <n v="5000000"/>
    <n v="1E-3"/>
    <n v="5000"/>
    <n v="19.95"/>
    <n v="0"/>
    <n v="5000000"/>
    <n v="0"/>
    <n v="0"/>
    <n v="0"/>
    <s v="Short Term"/>
  </r>
  <r>
    <x v="8"/>
    <x v="28"/>
    <n v="671"/>
    <n v="1.49"/>
    <n v="999.79"/>
    <n v="10"/>
    <n v="0"/>
    <n v="0"/>
    <n v="671"/>
    <n v="999.79"/>
    <n v="10"/>
    <s v="Long Term"/>
  </r>
  <r>
    <x v="9"/>
    <x v="29"/>
    <n v="5555"/>
    <n v="0.36"/>
    <n v="1999.8"/>
    <n v="19.95"/>
    <n v="0"/>
    <n v="12334"/>
    <n v="0"/>
    <n v="0"/>
    <n v="0"/>
    <s v="Short Term"/>
  </r>
  <r>
    <x v="9"/>
    <x v="30"/>
    <n v="6779"/>
    <n v="0.29499999999999998"/>
    <n v="1999.8049999999998"/>
    <n v="19.95"/>
    <n v="5555"/>
    <n v="12334"/>
    <n v="0"/>
    <n v="0"/>
    <n v="0"/>
    <s v="Short Term"/>
  </r>
  <r>
    <x v="10"/>
    <x v="31"/>
    <n v="1000000"/>
    <n v="1E-3"/>
    <n v="1000"/>
    <n v="10"/>
    <n v="0"/>
    <n v="1000000"/>
    <n v="0"/>
    <n v="0"/>
    <n v="0"/>
    <s v="Short Term"/>
  </r>
  <r>
    <x v="11"/>
    <x v="32"/>
    <n v="4000"/>
    <n v="0.25"/>
    <n v="1000"/>
    <n v="10"/>
    <n v="0"/>
    <n v="4000"/>
    <n v="0"/>
    <n v="0"/>
    <n v="0"/>
    <s v="Short Term"/>
  </r>
  <r>
    <x v="12"/>
    <x v="33"/>
    <n v="70"/>
    <n v="28.097211999999999"/>
    <n v="1966.80484"/>
    <n v="3.94"/>
    <n v="0"/>
    <n v="70"/>
    <n v="0"/>
    <n v="0"/>
    <n v="0"/>
    <s v="Short Term"/>
  </r>
  <r>
    <x v="13"/>
    <x v="34"/>
    <n v="967"/>
    <n v="1.0349999999999999"/>
    <n v="1000.8449999999999"/>
    <n v="10.01"/>
    <n v="0"/>
    <n v="0"/>
    <n v="967"/>
    <n v="1000.8449999999999"/>
    <n v="10.01"/>
    <s v="Long Term"/>
  </r>
  <r>
    <x v="14"/>
    <x v="35"/>
    <n v="836"/>
    <n v="1.1950000000000001"/>
    <n v="999.0200000000001"/>
    <n v="10"/>
    <n v="0"/>
    <n v="836"/>
    <n v="0"/>
    <n v="0"/>
    <n v="0"/>
    <s v="Short Term"/>
  </r>
  <r>
    <x v="15"/>
    <x v="36"/>
    <n v="1851"/>
    <n v="0.54"/>
    <n v="999.54000000000008"/>
    <n v="10"/>
    <n v="0"/>
    <n v="0"/>
    <n v="1851"/>
    <n v="999.54000000000008"/>
    <n v="10"/>
    <s v="Long Term"/>
  </r>
  <r>
    <x v="16"/>
    <x v="37"/>
    <n v="26315"/>
    <n v="3.7999999999999999E-2"/>
    <n v="999.97"/>
    <n v="10"/>
    <n v="0"/>
    <n v="0"/>
    <n v="26315"/>
    <n v="999.97"/>
    <n v="10"/>
    <s v="Long Term"/>
  </r>
  <r>
    <x v="17"/>
    <x v="13"/>
    <n v="34"/>
    <n v="28.69"/>
    <n v="975.46"/>
    <n v="10"/>
    <n v="0"/>
    <n v="34"/>
    <n v="0"/>
    <n v="0"/>
    <n v="0"/>
    <s v="Short Term"/>
  </r>
  <r>
    <x v="18"/>
    <x v="38"/>
    <n v="5128"/>
    <n v="0.39"/>
    <n v="1999.92"/>
    <n v="19.95"/>
    <n v="0"/>
    <n v="13236"/>
    <n v="0"/>
    <n v="0"/>
    <n v="0"/>
    <s v="Short Term"/>
  </r>
  <r>
    <x v="18"/>
    <x v="35"/>
    <n v="8108"/>
    <n v="0.37"/>
    <n v="2999.96"/>
    <n v="19.95"/>
    <n v="5128"/>
    <n v="13236"/>
    <n v="0"/>
    <n v="0"/>
    <n v="0"/>
    <s v="Short Term"/>
  </r>
  <r>
    <x v="19"/>
    <x v="37"/>
    <n v="23809"/>
    <n v="4.2000000000000003E-2"/>
    <n v="999.97800000000007"/>
    <n v="10.02"/>
    <n v="0"/>
    <n v="23809"/>
    <n v="0"/>
    <n v="0"/>
    <n v="0"/>
    <s v="Short Ter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83E0092-6177-4012-BF35-CFC9E2CDD52D}"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9" rowHeaderCaption="date">
  <location ref="J6:K18" firstHeaderRow="1" firstDataRow="1" firstDataCol="1"/>
  <pivotFields count="14">
    <pivotField showAll="0"/>
    <pivotField axis="axisRow" numFmtId="14" showAll="0">
      <items count="15">
        <item x="0"/>
        <item x="1"/>
        <item x="2"/>
        <item x="3"/>
        <item x="4"/>
        <item x="5"/>
        <item x="6"/>
        <item x="7"/>
        <item x="8"/>
        <item x="9"/>
        <item x="10"/>
        <item x="11"/>
        <item x="12"/>
        <item x="13"/>
        <item t="default"/>
      </items>
    </pivotField>
    <pivotField numFmtId="2" showAll="0"/>
    <pivotField numFmtId="164" showAll="0"/>
    <pivotField dataField="1" numFmtId="164" showAll="0"/>
    <pivotField numFmtId="164" showAll="0"/>
    <pivotField showAll="0"/>
    <pivotField numFmtId="2" showAll="0"/>
    <pivotField showAll="0"/>
    <pivotField showAll="0"/>
    <pivotField showAll="0"/>
    <pivotField showAll="0"/>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s>
  <rowFields count="1">
    <field x="1"/>
  </rowFields>
  <rowItems count="12">
    <i>
      <x v="1"/>
    </i>
    <i>
      <x v="2"/>
    </i>
    <i>
      <x v="3"/>
    </i>
    <i>
      <x v="4"/>
    </i>
    <i>
      <x v="5"/>
    </i>
    <i>
      <x v="6"/>
    </i>
    <i>
      <x v="7"/>
    </i>
    <i>
      <x v="8"/>
    </i>
    <i>
      <x v="9"/>
    </i>
    <i>
      <x v="10"/>
    </i>
    <i>
      <x v="11"/>
    </i>
    <i>
      <x v="12"/>
    </i>
  </rowItems>
  <colItems count="1">
    <i/>
  </colItems>
  <dataFields count="1">
    <dataField name="Sum of Value" fld="4" baseField="0" baseItem="0" numFmtId="164"/>
  </dataFields>
  <formats count="2">
    <format dxfId="121">
      <pivotArea outline="0" collapsedLevelsAreSubtotals="1" fieldPosition="0"/>
    </format>
    <format dxfId="120">
      <pivotArea dataOnly="0" labelOnly="1" outline="0" axis="axisValues" fieldPosition="0"/>
    </format>
  </formats>
  <chartFormats count="7">
    <chartFormat chart="28" format="20" series="1">
      <pivotArea type="data" outline="0" fieldPosition="0">
        <references count="1">
          <reference field="4294967294" count="1" selected="0">
            <x v="0"/>
          </reference>
        </references>
      </pivotArea>
    </chartFormat>
    <chartFormat chart="28" format="21">
      <pivotArea type="data" outline="0" fieldPosition="0">
        <references count="2">
          <reference field="4294967294" count="1" selected="0">
            <x v="0"/>
          </reference>
          <reference field="1" count="1" selected="0">
            <x v="4"/>
          </reference>
        </references>
      </pivotArea>
    </chartFormat>
    <chartFormat chart="28" format="22">
      <pivotArea type="data" outline="0" fieldPosition="0">
        <references count="2">
          <reference field="4294967294" count="1" selected="0">
            <x v="0"/>
          </reference>
          <reference field="1" count="1" selected="0">
            <x v="5"/>
          </reference>
        </references>
      </pivotArea>
    </chartFormat>
    <chartFormat chart="28" format="23">
      <pivotArea type="data" outline="0" fieldPosition="0">
        <references count="2">
          <reference field="4294967294" count="1" selected="0">
            <x v="0"/>
          </reference>
          <reference field="1" count="1" selected="0">
            <x v="6"/>
          </reference>
        </references>
      </pivotArea>
    </chartFormat>
    <chartFormat chart="28" format="24">
      <pivotArea type="data" outline="0" fieldPosition="0">
        <references count="2">
          <reference field="4294967294" count="1" selected="0">
            <x v="0"/>
          </reference>
          <reference field="1" count="1" selected="0">
            <x v="7"/>
          </reference>
        </references>
      </pivotArea>
    </chartFormat>
    <chartFormat chart="28" format="25">
      <pivotArea type="data" outline="0" fieldPosition="0">
        <references count="2">
          <reference field="4294967294" count="1" selected="0">
            <x v="0"/>
          </reference>
          <reference field="1" count="1" selected="0">
            <x v="8"/>
          </reference>
        </references>
      </pivotArea>
    </chartFormat>
    <chartFormat chart="28" format="26">
      <pivotArea type="data" outline="0" fieldPosition="0">
        <references count="2">
          <reference field="4294967294" count="1" selected="0">
            <x v="0"/>
          </reference>
          <reference field="1"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DCE20E2-A9AA-49BF-81C2-332AFDE83917}"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9">
  <location ref="A3:C23" firstHeaderRow="0" firstDataRow="1" firstDataCol="1" rowPageCount="1" colPageCount="1"/>
  <pivotFields count="14">
    <pivotField axis="axisRow" showAll="0">
      <items count="21">
        <item x="0"/>
        <item x="1"/>
        <item x="2"/>
        <item x="3"/>
        <item x="4"/>
        <item x="5"/>
        <item x="6"/>
        <item x="7"/>
        <item x="8"/>
        <item x="9"/>
        <item x="10"/>
        <item x="11"/>
        <item x="12"/>
        <item x="13"/>
        <item x="14"/>
        <item x="15"/>
        <item x="16"/>
        <item x="17"/>
        <item x="18"/>
        <item x="19"/>
        <item t="default"/>
      </items>
    </pivotField>
    <pivotField axis="axisPage" numFmtId="14" multipleItemSelectionAllowed="1" showAll="0">
      <items count="15">
        <item x="0"/>
        <item x="1"/>
        <item x="2"/>
        <item x="3"/>
        <item x="4"/>
        <item x="5"/>
        <item x="6"/>
        <item x="7"/>
        <item x="8"/>
        <item x="9"/>
        <item x="10"/>
        <item x="11"/>
        <item x="12"/>
        <item x="13"/>
        <item t="default"/>
      </items>
    </pivotField>
    <pivotField dataField="1" numFmtId="2" showAll="0"/>
    <pivotField numFmtId="164" showAll="0"/>
    <pivotField numFmtId="164" showAll="0"/>
    <pivotField numFmtId="164" showAll="0"/>
    <pivotField showAll="0"/>
    <pivotField dataField="1" numFmtId="2" showAll="0"/>
    <pivotField showAll="0"/>
    <pivotField showAll="0"/>
    <pivotField showAll="0"/>
    <pivotField showAll="0"/>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s>
  <rowFields count="1">
    <field x="0"/>
  </rowFields>
  <rowItems count="20">
    <i>
      <x/>
    </i>
    <i>
      <x v="1"/>
    </i>
    <i>
      <x v="2"/>
    </i>
    <i>
      <x v="3"/>
    </i>
    <i>
      <x v="4"/>
    </i>
    <i>
      <x v="5"/>
    </i>
    <i>
      <x v="6"/>
    </i>
    <i>
      <x v="7"/>
    </i>
    <i>
      <x v="8"/>
    </i>
    <i>
      <x v="9"/>
    </i>
    <i>
      <x v="10"/>
    </i>
    <i>
      <x v="11"/>
    </i>
    <i>
      <x v="12"/>
    </i>
    <i>
      <x v="13"/>
    </i>
    <i>
      <x v="14"/>
    </i>
    <i>
      <x v="15"/>
    </i>
    <i>
      <x v="16"/>
    </i>
    <i>
      <x v="17"/>
    </i>
    <i>
      <x v="18"/>
    </i>
    <i>
      <x v="19"/>
    </i>
  </rowItems>
  <colFields count="1">
    <field x="-2"/>
  </colFields>
  <colItems count="2">
    <i>
      <x/>
    </i>
    <i i="1">
      <x v="1"/>
    </i>
  </colItems>
  <pageFields count="1">
    <pageField fld="1" hier="-1"/>
  </pageFields>
  <dataFields count="2">
    <dataField name="Total Purchased Qty" fld="2" baseField="0" baseItem="4" numFmtId="2"/>
    <dataField name="Total Sold Qty" fld="7" baseField="0" baseItem="4"/>
  </dataFields>
  <formats count="4">
    <format dxfId="125">
      <pivotArea outline="0" collapsedLevelsAreSubtotals="1" fieldPosition="0"/>
    </format>
    <format dxfId="124">
      <pivotArea field="1" type="button" dataOnly="0" labelOnly="1" outline="0" axis="axisPage" fieldPosition="0"/>
    </format>
    <format dxfId="123">
      <pivotArea type="topRight" dataOnly="0" labelOnly="1" outline="0" fieldPosition="0"/>
    </format>
    <format dxfId="122">
      <pivotArea dataOnly="0" labelOnly="1" fieldPosition="0">
        <references count="1">
          <reference field="1" count="12">
            <x v="1"/>
            <x v="2"/>
            <x v="3"/>
            <x v="4"/>
            <x v="5"/>
            <x v="6"/>
            <x v="7"/>
            <x v="8"/>
            <x v="9"/>
            <x v="10"/>
            <x v="11"/>
            <x v="12"/>
          </reference>
        </references>
      </pivotArea>
    </format>
  </formats>
  <chartFormats count="2">
    <chartFormat chart="28" format="4" series="1">
      <pivotArea type="data" outline="0" fieldPosition="0">
        <references count="1">
          <reference field="4294967294" count="1" selected="0">
            <x v="0"/>
          </reference>
        </references>
      </pivotArea>
    </chartFormat>
    <chartFormat chart="28"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BA140E4-947F-49A2-8AB6-E4CBB6AE014A}"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8" rowHeaderCaption="Date">
  <location ref="M6:N11" firstHeaderRow="1" firstDataRow="1" firstDataCol="1"/>
  <pivotFields count="14">
    <pivotField showAll="0"/>
    <pivotField numFmtId="14" showAll="0">
      <items count="15">
        <item x="0"/>
        <item x="1"/>
        <item x="2"/>
        <item x="3"/>
        <item x="4"/>
        <item x="5"/>
        <item x="6"/>
        <item x="7"/>
        <item x="8"/>
        <item x="9"/>
        <item x="10"/>
        <item x="11"/>
        <item x="12"/>
        <item x="13"/>
        <item t="default"/>
      </items>
    </pivotField>
    <pivotField numFmtId="2" showAll="0"/>
    <pivotField numFmtId="164" showAll="0"/>
    <pivotField dataField="1" numFmtId="164" showAll="0"/>
    <pivotField numFmtId="164" showAll="0"/>
    <pivotField showAll="0"/>
    <pivotField numFmtId="2" showAll="0"/>
    <pivotField showAll="0"/>
    <pivotField showAll="0"/>
    <pivotField showAll="0"/>
    <pivotField showAll="0"/>
    <pivotField showAll="0">
      <items count="7">
        <item sd="0" x="0"/>
        <item sd="0" x="1"/>
        <item sd="0" x="2"/>
        <item sd="0" x="3"/>
        <item sd="0" x="4"/>
        <item sd="0" x="5"/>
        <item t="default"/>
      </items>
    </pivotField>
    <pivotField axis="axisRow" showAll="0">
      <items count="8">
        <item sd="0" x="0"/>
        <item sd="0" x="1"/>
        <item sd="0" x="2"/>
        <item sd="0" x="3"/>
        <item sd="0" x="4"/>
        <item sd="0" x="5"/>
        <item sd="0" x="6"/>
        <item t="default"/>
      </items>
    </pivotField>
  </pivotFields>
  <rowFields count="1">
    <field x="13"/>
  </rowFields>
  <rowItems count="5">
    <i>
      <x v="1"/>
    </i>
    <i>
      <x v="2"/>
    </i>
    <i>
      <x v="3"/>
    </i>
    <i>
      <x v="4"/>
    </i>
    <i>
      <x v="5"/>
    </i>
  </rowItems>
  <colItems count="1">
    <i/>
  </colItems>
  <dataFields count="1">
    <dataField name="Sum of Value" fld="4" baseField="0" baseItem="0" numFmtId="164"/>
  </dataFields>
  <formats count="2">
    <format dxfId="127">
      <pivotArea outline="0" collapsedLevelsAreSubtotals="1" fieldPosition="0"/>
    </format>
    <format dxfId="126">
      <pivotArea dataOnly="0" labelOnly="1" outline="0" axis="axisValues" fieldPosition="0"/>
    </format>
  </formats>
  <chartFormats count="4">
    <chartFormat chart="24" format="0" series="1">
      <pivotArea type="data" outline="0" fieldPosition="0">
        <references count="1">
          <reference field="4294967294" count="1" selected="0">
            <x v="0"/>
          </reference>
        </references>
      </pivotArea>
    </chartFormat>
    <chartFormat chart="24" format="1">
      <pivotArea type="data" outline="0" fieldPosition="0">
        <references count="1">
          <reference field="4294967294" count="1" selected="0">
            <x v="0"/>
          </reference>
        </references>
      </pivotArea>
    </chartFormat>
    <chartFormat chart="28" format="20" series="1">
      <pivotArea type="data" outline="0" fieldPosition="0">
        <references count="1">
          <reference field="4294967294" count="1" selected="0">
            <x v="0"/>
          </reference>
        </references>
      </pivotArea>
    </chartFormat>
    <chartFormat chart="3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88E39D4-34E6-4991-A2EC-CC605794BF6C}"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0" rowHeaderCaption="Date">
  <location ref="F6:G18" firstHeaderRow="1" firstDataRow="1" firstDataCol="1"/>
  <pivotFields count="14">
    <pivotField showAll="0"/>
    <pivotField axis="axisRow" numFmtId="14" showAll="0">
      <items count="15">
        <item x="0"/>
        <item x="1"/>
        <item x="2"/>
        <item x="3"/>
        <item x="4"/>
        <item x="5"/>
        <item x="6"/>
        <item x="7"/>
        <item x="8"/>
        <item x="9"/>
        <item x="10"/>
        <item x="11"/>
        <item x="12"/>
        <item x="13"/>
        <item t="default"/>
      </items>
    </pivotField>
    <pivotField numFmtId="2" showAll="0"/>
    <pivotField numFmtId="164" showAll="0"/>
    <pivotField numFmtId="164" showAll="0"/>
    <pivotField numFmtId="164" showAll="0"/>
    <pivotField showAll="0"/>
    <pivotField numFmtId="2" showAll="0"/>
    <pivotField showAll="0"/>
    <pivotField dataField="1" showAll="0"/>
    <pivotField showAll="0"/>
    <pivotField showAll="0"/>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s>
  <rowFields count="1">
    <field x="1"/>
  </rowFields>
  <rowItems count="12">
    <i>
      <x v="1"/>
    </i>
    <i>
      <x v="2"/>
    </i>
    <i>
      <x v="3"/>
    </i>
    <i>
      <x v="4"/>
    </i>
    <i>
      <x v="5"/>
    </i>
    <i>
      <x v="6"/>
    </i>
    <i>
      <x v="7"/>
    </i>
    <i>
      <x v="8"/>
    </i>
    <i>
      <x v="9"/>
    </i>
    <i>
      <x v="10"/>
    </i>
    <i>
      <x v="11"/>
    </i>
    <i>
      <x v="12"/>
    </i>
  </rowItems>
  <colItems count="1">
    <i/>
  </colItems>
  <dataFields count="1">
    <dataField name="Sum of Holding Value" fld="9" baseField="0" baseItem="0"/>
  </dataFields>
  <formats count="2">
    <format dxfId="129">
      <pivotArea outline="0" collapsedLevelsAreSubtotals="1" fieldPosition="0"/>
    </format>
    <format dxfId="128">
      <pivotArea dataOnly="0" labelOnly="1" outline="0" axis="axisValues" fieldPosition="0"/>
    </format>
  </formats>
  <chartFormats count="1">
    <chartFormat chart="2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 xr10:uid="{561B8764-F23A-4705-9872-4B2323B60484}" sourceName="Order Date">
  <pivotTables>
    <pivotTable tabId="5" name="PivotTable3"/>
    <pivotTable tabId="5" name="PivotTable5"/>
    <pivotTable tabId="5" name="PivotTable6"/>
    <pivotTable tabId="5" name="PivotTable9"/>
  </pivotTables>
  <data>
    <tabular pivotCacheId="1643930962">
      <items count="14">
        <i x="1" s="1"/>
        <i x="2" s="1"/>
        <i x="3" s="1"/>
        <i x="4" s="1"/>
        <i x="5" s="1"/>
        <i x="6" s="1"/>
        <i x="7" s="1"/>
        <i x="8" s="1"/>
        <i x="9" s="1"/>
        <i x="10" s="1"/>
        <i x="11" s="1"/>
        <i x="12" s="1"/>
        <i x="0" s="1" nd="1"/>
        <i x="1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82988E15-A29F-4FB9-898C-CC4B04D1BA2A}" sourceName="Years">
  <pivotTables>
    <pivotTable tabId="5" name="PivotTable9"/>
    <pivotTable tabId="5" name="PivotTable3"/>
    <pivotTable tabId="5" name="PivotTable5"/>
    <pivotTable tabId="5" name="PivotTable6"/>
  </pivotTables>
  <data>
    <tabular pivotCacheId="1643930962">
      <items count="7">
        <i x="1" s="1"/>
        <i x="2" s="1"/>
        <i x="3" s="1"/>
        <i x="4" s="1"/>
        <i x="5" s="1"/>
        <i x="0" s="1" nd="1"/>
        <i x="6"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Date 1" xr10:uid="{522B6C99-354E-4362-A7D6-CAEB88679470}" cache="Slicer_Order_Date" caption="Order Date" rowHeight="241300"/>
  <slicer name="Years" xr10:uid="{7265138D-A622-46F5-8547-07C96C55CCBD}" cache="Slicer_Years" caption="Years"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98DA50C-C115-4A29-9F54-1A2924CAC0AE}" name="InputData" displayName="InputData" ref="A1:H1060" totalsRowShown="0" headerRowDxfId="142" dataDxfId="140" headerRowBorderDxfId="141" tableBorderDxfId="139" totalsRowBorderDxfId="138">
  <autoFilter ref="A1:H1060" xr:uid="{798DA50C-C115-4A29-9F54-1A2924CAC0AE}"/>
  <tableColumns count="8">
    <tableColumn id="2" xr3:uid="{DA9C513C-CE37-4F68-92ED-6ABFB9FCAF06}" name="Stock" dataDxfId="137"/>
    <tableColumn id="1" xr3:uid="{82DFD48E-9E9A-41E5-9200-CEFC0C41E445}" name="Date" dataDxfId="136"/>
    <tableColumn id="3" xr3:uid="{A1B8F8E8-9166-47D6-8848-9344526C9A9B}" name="Type" dataDxfId="135"/>
    <tableColumn id="4" xr3:uid="{2A6E9004-3CFD-4213-B578-4203465E9B2F}" name="Transacted Units" dataDxfId="134"/>
    <tableColumn id="5" xr3:uid="{A10EC3F2-67CA-4C7A-AFD6-A09241262A0D}" name="Transacted Price (per unit)" dataDxfId="133"/>
    <tableColumn id="6" xr3:uid="{A37F6490-0FD7-4075-BAF0-C0229EA4C4CA}" name="Fees" dataDxfId="132"/>
    <tableColumn id="7" xr3:uid="{56E64301-C6EA-4EE5-B21B-9F2376CDF59E}" name="Trade Type" dataDxfId="131"/>
    <tableColumn id="8" xr3:uid="{A3DBE380-87C0-4DA8-BF83-040FD2651EF8}" name="Mkt Value" dataDxfId="130">
      <calculatedColumnFormula>InputData[[#This Row],[Transacted Units]]*InputData[[#This Row],[Transacted Price (per unit)]]</calculatedColumnFormula>
    </tableColumn>
  </tableColumns>
  <tableStyleInfo name="TableStyleMedium2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solidFill>
        <a:ln>
          <a:solidFill>
            <a:schemeClr val="accent1"/>
          </a:solidFill>
        </a:ln>
        <a:effectLst>
          <a:softEdge rad="0"/>
        </a:effectLst>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ctrlProp" Target="../ctrlProps/ctrlProp14.xml"/><Relationship Id="rId7" Type="http://schemas.openxmlformats.org/officeDocument/2006/relationships/ctrlProp" Target="../ctrlProps/ctrlProp18.xml"/><Relationship Id="rId12" Type="http://schemas.microsoft.com/office/2007/relationships/slicer" Target="../slicers/slicer1.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7.xml"/><Relationship Id="rId11" Type="http://schemas.openxmlformats.org/officeDocument/2006/relationships/ctrlProp" Target="../ctrlProps/ctrlProp22.xml"/><Relationship Id="rId5" Type="http://schemas.openxmlformats.org/officeDocument/2006/relationships/ctrlProp" Target="../ctrlProps/ctrlProp16.xml"/><Relationship Id="rId10" Type="http://schemas.openxmlformats.org/officeDocument/2006/relationships/ctrlProp" Target="../ctrlProps/ctrlProp21.xml"/><Relationship Id="rId4" Type="http://schemas.openxmlformats.org/officeDocument/2006/relationships/ctrlProp" Target="../ctrlProps/ctrlProp15.xml"/><Relationship Id="rId9"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1C38-4D7D-4982-9A3F-3521D9BDB492}">
  <sheetPr codeName="Sheet1"/>
  <dimension ref="A1:U65"/>
  <sheetViews>
    <sheetView showGridLines="0" topLeftCell="A23" zoomScaleNormal="100" workbookViewId="0">
      <selection activeCell="B10" sqref="B10"/>
    </sheetView>
  </sheetViews>
  <sheetFormatPr defaultRowHeight="15" x14ac:dyDescent="0.25"/>
  <cols>
    <col min="1" max="2" width="3.7109375" customWidth="1"/>
    <col min="3" max="3" width="8.85546875" customWidth="1"/>
    <col min="4" max="4" width="20.140625" style="40" customWidth="1"/>
    <col min="5" max="5" width="15.7109375" customWidth="1"/>
    <col min="6" max="6" width="17.140625" customWidth="1"/>
    <col min="7" max="7" width="15" customWidth="1"/>
    <col min="8" max="8" width="12.42578125" customWidth="1"/>
    <col min="9" max="9" width="12.5703125" customWidth="1"/>
    <col min="10" max="10" width="13.42578125" customWidth="1"/>
    <col min="11" max="11" width="14.42578125" customWidth="1"/>
    <col min="12" max="12" width="20.85546875" customWidth="1"/>
    <col min="13" max="13" width="24" bestFit="1" customWidth="1"/>
    <col min="14" max="14" width="14.42578125" customWidth="1"/>
    <col min="15" max="15" width="21.42578125" bestFit="1" customWidth="1"/>
    <col min="16" max="16" width="10.140625" customWidth="1"/>
    <col min="17" max="17" width="18.7109375" customWidth="1"/>
    <col min="18" max="18" width="2.85546875" customWidth="1"/>
  </cols>
  <sheetData>
    <row r="1" spans="1:18" ht="15" customHeight="1" x14ac:dyDescent="0.25">
      <c r="A1" s="48"/>
      <c r="B1" s="188"/>
      <c r="C1" s="188"/>
      <c r="D1" s="188"/>
      <c r="E1" s="188"/>
      <c r="F1" s="188"/>
      <c r="G1" s="97"/>
      <c r="H1" s="97"/>
      <c r="I1" s="188"/>
      <c r="J1" s="188"/>
      <c r="K1" s="188"/>
      <c r="L1" s="188"/>
      <c r="M1" s="97"/>
      <c r="N1" s="172"/>
      <c r="O1" s="172"/>
      <c r="P1" s="172"/>
      <c r="Q1" s="172"/>
      <c r="R1" s="48"/>
    </row>
    <row r="2" spans="1:18" s="131" customFormat="1" ht="15" customHeight="1" x14ac:dyDescent="0.25">
      <c r="A2" s="48"/>
      <c r="B2" s="188"/>
      <c r="C2" s="188"/>
      <c r="D2" s="188"/>
      <c r="E2" s="188"/>
      <c r="F2" s="188"/>
      <c r="G2" s="97"/>
      <c r="H2" s="97"/>
      <c r="I2" s="188"/>
      <c r="J2" s="188"/>
      <c r="K2" s="188"/>
      <c r="L2" s="188"/>
      <c r="M2" s="97"/>
      <c r="N2" s="172"/>
      <c r="O2" s="172"/>
      <c r="P2" s="172"/>
      <c r="Q2" s="172"/>
      <c r="R2" s="48"/>
    </row>
    <row r="3" spans="1:18" s="131" customFormat="1" ht="34.5" customHeight="1" x14ac:dyDescent="0.25">
      <c r="A3" s="48"/>
      <c r="B3" s="188"/>
      <c r="C3" s="188"/>
      <c r="D3" s="188"/>
      <c r="E3" s="188"/>
      <c r="F3" s="188"/>
      <c r="G3" s="97"/>
      <c r="H3" s="97"/>
      <c r="I3" s="188"/>
      <c r="J3" s="188"/>
      <c r="K3" s="188"/>
      <c r="L3" s="188"/>
      <c r="M3" s="97"/>
      <c r="N3" s="172"/>
      <c r="O3" s="172"/>
      <c r="P3" s="172"/>
      <c r="Q3" s="172"/>
      <c r="R3" s="48"/>
    </row>
    <row r="4" spans="1:18" s="56" customFormat="1" ht="30" customHeight="1" x14ac:dyDescent="0.25">
      <c r="A4" s="48"/>
      <c r="B4" s="187" t="s">
        <v>96</v>
      </c>
      <c r="C4" s="187"/>
      <c r="D4" s="187"/>
      <c r="E4" s="187"/>
      <c r="F4" s="187"/>
      <c r="G4" s="174" t="s">
        <v>116</v>
      </c>
      <c r="H4" s="174"/>
      <c r="I4" s="97"/>
      <c r="J4" s="174" t="s">
        <v>97</v>
      </c>
      <c r="K4" s="174"/>
      <c r="L4" s="97" t="s">
        <v>114</v>
      </c>
      <c r="M4" s="97" t="s">
        <v>98</v>
      </c>
      <c r="N4" s="97"/>
      <c r="O4" s="98" t="s">
        <v>99</v>
      </c>
      <c r="P4" s="99"/>
      <c r="Q4" s="97" t="s">
        <v>100</v>
      </c>
      <c r="R4" s="48"/>
    </row>
    <row r="5" spans="1:18" s="56" customFormat="1" ht="29.25" customHeight="1" thickBot="1" x14ac:dyDescent="0.4">
      <c r="A5" s="48"/>
      <c r="B5" s="187"/>
      <c r="C5" s="187"/>
      <c r="D5" s="187"/>
      <c r="E5" s="187"/>
      <c r="F5" s="187"/>
      <c r="G5" s="189">
        <f ca="1">SUM(_xlfn.ANCHORARRAY('Current Holdings'!G9))</f>
        <v>34174.237999999998</v>
      </c>
      <c r="H5" s="189"/>
      <c r="I5" s="97"/>
      <c r="J5" s="173">
        <f>Calculations!H37</f>
        <v>123201.09397253738</v>
      </c>
      <c r="K5" s="173"/>
      <c r="L5" s="100">
        <f ca="1">Calculations!H38</f>
        <v>199228.62246926239</v>
      </c>
      <c r="M5" s="100">
        <f ca="1">SUM('Current Holdings'!$O$25)</f>
        <v>78830.848394884219</v>
      </c>
      <c r="N5" s="101"/>
      <c r="O5" s="100">
        <f>SUM(_xlfn.ANCHORARRAY('Current Holdings'!J9))</f>
        <v>113005.08639488419</v>
      </c>
      <c r="P5" s="102"/>
      <c r="Q5" s="100">
        <f ca="1">SUM(Profit_Loss)</f>
        <v>-69019.877314843092</v>
      </c>
      <c r="R5" s="48"/>
    </row>
    <row r="6" spans="1:18" ht="5.25" customHeight="1" thickTop="1" x14ac:dyDescent="0.25"/>
    <row r="7" spans="1:18" ht="31.5" x14ac:dyDescent="0.5">
      <c r="A7" s="48"/>
      <c r="B7" s="53" t="s">
        <v>101</v>
      </c>
      <c r="C7" s="53"/>
      <c r="D7" s="59"/>
      <c r="E7" s="53"/>
      <c r="F7" s="53"/>
      <c r="G7" s="48"/>
      <c r="H7" s="48"/>
      <c r="I7" s="48"/>
      <c r="J7" s="48"/>
      <c r="K7" s="48"/>
      <c r="L7" s="48"/>
      <c r="M7" s="48"/>
      <c r="N7" s="48"/>
      <c r="O7" s="48"/>
      <c r="P7" s="48"/>
      <c r="Q7" s="48"/>
      <c r="R7" s="48"/>
    </row>
    <row r="8" spans="1:18" ht="21" customHeight="1" thickBot="1" x14ac:dyDescent="0.55000000000000004">
      <c r="A8" s="48"/>
      <c r="B8" s="53"/>
      <c r="C8" s="177" t="s">
        <v>102</v>
      </c>
      <c r="D8" s="177"/>
      <c r="E8" s="53"/>
      <c r="F8" s="53"/>
      <c r="G8" s="48"/>
      <c r="H8" s="48"/>
      <c r="I8" s="48"/>
      <c r="J8" s="48"/>
      <c r="K8" s="48"/>
      <c r="L8" s="48"/>
      <c r="M8" s="48"/>
      <c r="N8" s="48"/>
      <c r="O8" s="48"/>
      <c r="P8" s="48"/>
      <c r="Q8" s="48"/>
      <c r="R8" s="48"/>
    </row>
    <row r="9" spans="1:18" ht="26.25" customHeight="1" x14ac:dyDescent="0.55000000000000004">
      <c r="A9" s="48"/>
      <c r="B9" s="57"/>
      <c r="C9" s="71" t="s">
        <v>26</v>
      </c>
      <c r="D9" s="54" t="s">
        <v>77</v>
      </c>
      <c r="E9" s="55" t="s">
        <v>2</v>
      </c>
      <c r="F9" s="55" t="s">
        <v>3</v>
      </c>
      <c r="G9" s="55" t="s">
        <v>78</v>
      </c>
      <c r="H9" s="48"/>
      <c r="I9" s="48"/>
      <c r="J9" s="48"/>
      <c r="K9" s="48"/>
      <c r="L9" s="48"/>
      <c r="M9" s="48"/>
      <c r="N9" s="181" t="str">
        <f>IF(Calculations!$BC1=2,"Total investment value is ","Total Networth value is ")</f>
        <v xml:space="preserve">Total Networth value is </v>
      </c>
      <c r="O9" s="182"/>
      <c r="P9" s="182"/>
      <c r="Q9" s="183"/>
      <c r="R9" s="48"/>
    </row>
    <row r="10" spans="1:18" ht="18.75" x14ac:dyDescent="0.25">
      <c r="A10" s="48"/>
      <c r="B10" s="48"/>
      <c r="C10" s="145" t="str" cm="1">
        <f t="array" aca="1" ref="C10:G19" ca="1">OFFSET(Calculations!$AP$1,Calculations!$AW$5,,10,5)</f>
        <v>CCE</v>
      </c>
      <c r="D10" s="146">
        <f ca="1"/>
        <v>5000000</v>
      </c>
      <c r="E10" s="147">
        <f ca="1"/>
        <v>5000</v>
      </c>
      <c r="F10" s="147">
        <f ca="1"/>
        <v>10000</v>
      </c>
      <c r="G10" s="147">
        <f ca="1"/>
        <v>4940.1499999999996</v>
      </c>
      <c r="H10" s="48"/>
      <c r="I10" s="48"/>
      <c r="J10" s="57"/>
      <c r="K10" s="48"/>
      <c r="L10" s="48"/>
      <c r="M10" s="48"/>
      <c r="N10" s="178">
        <f ca="1">IF(Calculations!$BC1=2,SUM(ttl_invest), SUM(ttl_networth))</f>
        <v>113005.08639488419</v>
      </c>
      <c r="O10" s="179"/>
      <c r="P10" s="179"/>
      <c r="Q10" s="180"/>
      <c r="R10" s="48"/>
    </row>
    <row r="11" spans="1:18" ht="18.75" x14ac:dyDescent="0.25">
      <c r="A11" s="48"/>
      <c r="B11" s="48"/>
      <c r="C11" s="145" t="str">
        <f ca="1"/>
        <v>SHIB</v>
      </c>
      <c r="D11" s="146">
        <f ca="1"/>
        <v>375274036</v>
      </c>
      <c r="E11" s="147">
        <f ca="1"/>
        <v>5470.0684773200001</v>
      </c>
      <c r="F11" s="147">
        <f ca="1"/>
        <v>7078.6270396300006</v>
      </c>
      <c r="G11" s="147">
        <f ca="1"/>
        <v>1608.5585623100005</v>
      </c>
      <c r="H11" s="48"/>
      <c r="I11" s="48"/>
      <c r="J11" s="48"/>
      <c r="K11" s="48"/>
      <c r="L11" s="48"/>
      <c r="M11" s="48"/>
      <c r="N11" s="178"/>
      <c r="O11" s="179"/>
      <c r="P11" s="179"/>
      <c r="Q11" s="180"/>
      <c r="R11" s="48"/>
    </row>
    <row r="12" spans="1:18" ht="16.5" customHeight="1" x14ac:dyDescent="0.25">
      <c r="A12" s="48"/>
      <c r="B12" s="48"/>
      <c r="C12" s="145" t="str">
        <f ca="1"/>
        <v>ICG</v>
      </c>
      <c r="D12" s="146">
        <f ca="1"/>
        <v>1000000</v>
      </c>
      <c r="E12" s="147">
        <f ca="1"/>
        <v>1000</v>
      </c>
      <c r="F12" s="147">
        <f ca="1"/>
        <v>2000</v>
      </c>
      <c r="G12" s="147">
        <f ca="1"/>
        <v>970.05</v>
      </c>
      <c r="H12" s="48"/>
      <c r="I12" s="48"/>
      <c r="J12" s="48"/>
      <c r="K12" s="48"/>
      <c r="L12" s="48"/>
      <c r="M12" s="48"/>
      <c r="N12" s="178"/>
      <c r="O12" s="179"/>
      <c r="P12" s="179"/>
      <c r="Q12" s="180"/>
      <c r="R12" s="48"/>
    </row>
    <row r="13" spans="1:18" s="143" customFormat="1" ht="21" customHeight="1" x14ac:dyDescent="0.25">
      <c r="A13" s="144"/>
      <c r="B13" s="144"/>
      <c r="C13" s="145" t="str">
        <f ca="1"/>
        <v>ANL</v>
      </c>
      <c r="D13" s="146">
        <f ca="1"/>
        <v>1000000</v>
      </c>
      <c r="E13" s="147">
        <f ca="1"/>
        <v>2000</v>
      </c>
      <c r="F13" s="147">
        <f ca="1"/>
        <v>3000</v>
      </c>
      <c r="G13" s="147">
        <f ca="1"/>
        <v>966.75</v>
      </c>
      <c r="H13" s="144"/>
      <c r="I13" s="144"/>
      <c r="J13" s="144"/>
      <c r="K13" s="144"/>
      <c r="L13" s="144"/>
      <c r="M13" s="144"/>
      <c r="N13" s="148"/>
      <c r="O13" s="149"/>
      <c r="P13" s="149"/>
      <c r="Q13" s="150"/>
      <c r="R13" s="144"/>
    </row>
    <row r="14" spans="1:18" ht="18.75" x14ac:dyDescent="0.25">
      <c r="A14" s="48"/>
      <c r="B14" s="48"/>
      <c r="C14" s="145" t="str">
        <f ca="1"/>
        <v>MKR</v>
      </c>
      <c r="D14" s="146">
        <f ca="1"/>
        <v>4000</v>
      </c>
      <c r="E14" s="147">
        <f ca="1"/>
        <v>1000</v>
      </c>
      <c r="F14" s="147">
        <f ca="1"/>
        <v>1874.8999999999999</v>
      </c>
      <c r="G14" s="147">
        <f ca="1"/>
        <v>844.89999999999986</v>
      </c>
      <c r="H14" s="48"/>
      <c r="I14" s="48"/>
      <c r="J14" s="48"/>
      <c r="K14" s="48"/>
      <c r="L14" s="48"/>
      <c r="M14" s="48"/>
      <c r="N14" s="184" t="str">
        <f>IF(Calculations!$AW$2=1,"Total Profit/Loss in Day Trade is ",IF(Calculations!$AW$2=2,"Total Profit/Loss in Long term Holding is", "Total Overall Profit/Loss value is "))</f>
        <v xml:space="preserve">Total Overall Profit/Loss value is </v>
      </c>
      <c r="O14" s="185"/>
      <c r="P14" s="185"/>
      <c r="Q14" s="186"/>
      <c r="R14" s="48"/>
    </row>
    <row r="15" spans="1:18" ht="18.75" x14ac:dyDescent="0.25">
      <c r="A15" s="48"/>
      <c r="B15" s="48"/>
      <c r="C15" s="145" t="str">
        <f ca="1"/>
        <v>RLT</v>
      </c>
      <c r="D15" s="146">
        <f ca="1"/>
        <v>836</v>
      </c>
      <c r="E15" s="147">
        <f ca="1"/>
        <v>999.0200000000001</v>
      </c>
      <c r="F15" s="147">
        <f ca="1"/>
        <v>1498.42</v>
      </c>
      <c r="G15" s="147">
        <f ca="1"/>
        <v>469.4</v>
      </c>
      <c r="H15" s="48"/>
      <c r="I15" s="48"/>
      <c r="J15" s="48"/>
      <c r="K15" s="48"/>
      <c r="L15" s="48"/>
      <c r="M15" s="48"/>
      <c r="N15" s="184"/>
      <c r="O15" s="185"/>
      <c r="P15" s="185"/>
      <c r="Q15" s="186"/>
      <c r="R15" s="48"/>
    </row>
    <row r="16" spans="1:18" ht="18.75" x14ac:dyDescent="0.25">
      <c r="A16" s="48"/>
      <c r="B16" s="48"/>
      <c r="C16" s="145" t="str">
        <f ca="1"/>
        <v>VML</v>
      </c>
      <c r="D16" s="146">
        <f ca="1"/>
        <v>23809</v>
      </c>
      <c r="E16" s="147">
        <f ca="1"/>
        <v>999.97800000000007</v>
      </c>
      <c r="F16" s="147">
        <f ca="1"/>
        <v>1426.9639999999999</v>
      </c>
      <c r="G16" s="147">
        <f ca="1"/>
        <v>396.96599999999989</v>
      </c>
      <c r="H16" s="48"/>
      <c r="I16" s="48"/>
      <c r="J16" s="48"/>
      <c r="K16" s="48"/>
      <c r="L16" s="48"/>
      <c r="M16" s="48"/>
      <c r="N16" s="184"/>
      <c r="O16" s="185"/>
      <c r="P16" s="185"/>
      <c r="Q16" s="186"/>
      <c r="R16" s="48"/>
    </row>
    <row r="17" spans="1:21" ht="18.75" x14ac:dyDescent="0.25">
      <c r="A17" s="48"/>
      <c r="B17" s="48"/>
      <c r="C17" s="145" t="str">
        <f ca="1"/>
        <v>BUD</v>
      </c>
      <c r="D17" s="146">
        <f ca="1"/>
        <v>200659</v>
      </c>
      <c r="E17" s="147">
        <f ca="1"/>
        <v>5791.8449999999993</v>
      </c>
      <c r="F17" s="147">
        <f ca="1"/>
        <v>6123.0650000000005</v>
      </c>
      <c r="G17" s="147">
        <f ca="1"/>
        <v>196.80825183411727</v>
      </c>
      <c r="H17" s="48"/>
      <c r="I17" s="48"/>
      <c r="J17" s="48"/>
      <c r="K17" s="48"/>
      <c r="L17" s="48"/>
      <c r="M17" s="48"/>
      <c r="N17" s="184"/>
      <c r="O17" s="185"/>
      <c r="P17" s="185"/>
      <c r="Q17" s="186"/>
      <c r="R17" s="48"/>
    </row>
    <row r="18" spans="1:21" ht="18.75" x14ac:dyDescent="0.25">
      <c r="A18" s="48"/>
      <c r="B18" s="48"/>
      <c r="C18" s="145" t="str">
        <f ca="1"/>
        <v>LAZIO</v>
      </c>
      <c r="D18" s="146">
        <f ca="1"/>
        <v>27.61</v>
      </c>
      <c r="E18" s="147">
        <f ca="1"/>
        <v>14.081099999999999</v>
      </c>
      <c r="F18" s="147">
        <f ca="1"/>
        <v>119.8726214787</v>
      </c>
      <c r="G18" s="147">
        <f ca="1"/>
        <v>105.76832103446299</v>
      </c>
      <c r="H18" s="48"/>
      <c r="I18" s="48"/>
      <c r="J18" s="48"/>
      <c r="K18" s="48"/>
      <c r="L18" s="48"/>
      <c r="M18" s="48"/>
      <c r="N18" s="178">
        <f ca="1">IF(Calculations!$AW$2=1,SUM(dyn_buy),IF(Calculations!$AW$2=2,SUM(dyn_sales), SUM(Profit_Loss)))</f>
        <v>-69019.877314843092</v>
      </c>
      <c r="O18" s="179"/>
      <c r="P18" s="179"/>
      <c r="Q18" s="180"/>
      <c r="R18" s="48"/>
    </row>
    <row r="19" spans="1:21" ht="18.75" x14ac:dyDescent="0.25">
      <c r="A19" s="48"/>
      <c r="B19" s="48"/>
      <c r="C19" s="145" t="str">
        <f ca="1"/>
        <v>VOXEL</v>
      </c>
      <c r="D19" s="146">
        <f ca="1"/>
        <v>28.5</v>
      </c>
      <c r="E19" s="147">
        <f ca="1"/>
        <v>2.85</v>
      </c>
      <c r="F19" s="147">
        <f ca="1"/>
        <v>91.553695402500011</v>
      </c>
      <c r="G19" s="147">
        <f ca="1"/>
        <v>88.693564193953421</v>
      </c>
      <c r="H19" s="48"/>
      <c r="I19" s="48"/>
      <c r="J19" s="48"/>
      <c r="K19" s="48"/>
      <c r="L19" s="48"/>
      <c r="M19" s="48"/>
      <c r="N19" s="178"/>
      <c r="O19" s="179"/>
      <c r="P19" s="179"/>
      <c r="Q19" s="180"/>
      <c r="R19" s="48"/>
    </row>
    <row r="20" spans="1:21" ht="18.75" x14ac:dyDescent="0.25">
      <c r="A20" s="48"/>
      <c r="B20" s="48"/>
      <c r="C20" s="175" t="s">
        <v>117</v>
      </c>
      <c r="D20" s="176"/>
      <c r="E20" s="128">
        <f ca="1">SUM(dyn_buy)</f>
        <v>191334.43236926239</v>
      </c>
      <c r="F20" s="128">
        <f ca="1">SUM(dyn_sales)</f>
        <v>123201.0939725374</v>
      </c>
      <c r="G20" s="128">
        <f ca="1">SUM(Profit_Loss)</f>
        <v>-69019.877314843092</v>
      </c>
      <c r="H20" s="48"/>
      <c r="I20" s="48"/>
      <c r="J20" s="48"/>
      <c r="K20" s="48"/>
      <c r="L20" s="48"/>
      <c r="M20" s="48"/>
      <c r="N20" s="178"/>
      <c r="O20" s="179"/>
      <c r="P20" s="179"/>
      <c r="Q20" s="180"/>
      <c r="R20" s="48"/>
    </row>
    <row r="21" spans="1:21" s="56" customFormat="1" x14ac:dyDescent="0.25">
      <c r="A21" s="48"/>
      <c r="B21" s="48"/>
      <c r="C21" s="48"/>
      <c r="D21" s="60"/>
      <c r="E21" s="48"/>
      <c r="F21" s="48"/>
      <c r="G21" s="48"/>
      <c r="H21" s="48"/>
      <c r="I21" s="48"/>
      <c r="J21" s="48"/>
      <c r="K21" s="48"/>
      <c r="L21" s="48"/>
      <c r="M21" s="48"/>
      <c r="N21" s="103"/>
      <c r="O21" s="104"/>
      <c r="P21" s="104"/>
      <c r="Q21" s="105"/>
      <c r="R21" s="48"/>
      <c r="S21"/>
      <c r="T21"/>
      <c r="U21"/>
    </row>
    <row r="22" spans="1:21" x14ac:dyDescent="0.25">
      <c r="A22" s="48"/>
      <c r="B22" s="48"/>
      <c r="C22" s="48"/>
      <c r="D22" s="60"/>
      <c r="E22" s="48"/>
      <c r="F22" s="48"/>
      <c r="G22" s="48"/>
      <c r="H22" s="48"/>
      <c r="I22" s="48"/>
      <c r="J22" s="48"/>
      <c r="K22" s="48"/>
      <c r="L22" s="48"/>
      <c r="M22" s="48"/>
      <c r="N22" s="48"/>
      <c r="O22" s="48"/>
      <c r="P22" s="48"/>
      <c r="Q22" s="48"/>
      <c r="R22" s="48"/>
    </row>
    <row r="23" spans="1:21" x14ac:dyDescent="0.25">
      <c r="A23" s="48"/>
      <c r="B23" s="48"/>
      <c r="C23" s="48"/>
      <c r="D23" s="60"/>
      <c r="E23" s="48"/>
      <c r="F23" s="48"/>
      <c r="G23" s="48"/>
      <c r="H23" s="48"/>
      <c r="I23" s="48"/>
      <c r="J23" s="48"/>
      <c r="K23" s="48"/>
      <c r="L23" s="48"/>
      <c r="M23" s="48"/>
      <c r="N23" s="48"/>
      <c r="O23" s="48"/>
      <c r="P23" s="48"/>
      <c r="Q23" s="48"/>
      <c r="R23" s="48"/>
    </row>
    <row r="24" spans="1:21" x14ac:dyDescent="0.25">
      <c r="A24" s="48"/>
      <c r="B24" s="48"/>
      <c r="C24" s="48"/>
      <c r="D24" s="60"/>
      <c r="E24" s="48"/>
      <c r="F24" s="48"/>
      <c r="G24" s="48"/>
      <c r="H24" s="48"/>
      <c r="I24" s="48"/>
      <c r="J24" s="48"/>
      <c r="K24" s="48"/>
      <c r="L24" s="48"/>
      <c r="M24" s="48"/>
      <c r="N24" s="48"/>
      <c r="O24" s="48"/>
      <c r="P24" s="48"/>
      <c r="Q24" s="48"/>
      <c r="R24" s="48"/>
    </row>
    <row r="25" spans="1:21" x14ac:dyDescent="0.25">
      <c r="A25" s="48"/>
      <c r="B25" s="48"/>
      <c r="C25" s="48"/>
      <c r="D25" s="60"/>
      <c r="E25" s="48"/>
      <c r="F25" s="48"/>
      <c r="G25" s="48"/>
      <c r="H25" s="48"/>
      <c r="I25" s="48"/>
      <c r="J25" s="48"/>
      <c r="K25" s="48"/>
      <c r="L25" s="48"/>
      <c r="M25" s="48"/>
      <c r="N25" s="48"/>
      <c r="O25" s="48"/>
      <c r="P25" s="48"/>
      <c r="Q25" s="48"/>
      <c r="R25" s="48"/>
    </row>
    <row r="26" spans="1:21" x14ac:dyDescent="0.25">
      <c r="A26" s="48"/>
      <c r="B26" s="48"/>
      <c r="C26" s="48"/>
      <c r="D26" s="60"/>
      <c r="E26" s="48"/>
      <c r="F26" s="48"/>
      <c r="G26" s="48"/>
      <c r="H26" s="48"/>
      <c r="I26" s="48"/>
      <c r="J26" s="48"/>
      <c r="K26" s="48"/>
      <c r="L26" s="48"/>
      <c r="M26" s="48"/>
      <c r="N26" s="48"/>
      <c r="O26" s="48"/>
      <c r="P26" s="48"/>
      <c r="Q26" s="48"/>
      <c r="R26" s="48"/>
    </row>
    <row r="27" spans="1:21" x14ac:dyDescent="0.25">
      <c r="A27" s="48"/>
      <c r="B27" s="48"/>
      <c r="C27" s="48"/>
      <c r="D27" s="60"/>
      <c r="E27" s="48"/>
      <c r="F27" s="48"/>
      <c r="G27" s="48"/>
      <c r="H27" s="48"/>
      <c r="I27" s="48"/>
      <c r="J27" s="48"/>
      <c r="K27" s="48"/>
      <c r="L27" s="48"/>
      <c r="M27" s="48"/>
      <c r="N27" s="48"/>
      <c r="O27" s="48"/>
      <c r="P27" s="48"/>
      <c r="Q27" s="48"/>
      <c r="R27" s="48"/>
    </row>
    <row r="28" spans="1:21" x14ac:dyDescent="0.25">
      <c r="A28" s="48"/>
      <c r="B28" s="48"/>
      <c r="C28" s="48"/>
      <c r="D28" s="60"/>
      <c r="E28" s="48"/>
      <c r="F28" s="48"/>
      <c r="G28" s="48"/>
      <c r="H28" s="48"/>
      <c r="I28" s="48"/>
      <c r="J28" s="48"/>
      <c r="K28" s="48"/>
      <c r="L28" s="48"/>
      <c r="M28" s="48"/>
      <c r="N28" s="48"/>
      <c r="O28" s="48"/>
      <c r="P28" s="48"/>
      <c r="Q28" s="48"/>
      <c r="R28" s="48"/>
    </row>
    <row r="29" spans="1:21" x14ac:dyDescent="0.25">
      <c r="A29" s="48"/>
      <c r="B29" s="48"/>
      <c r="C29" s="48"/>
      <c r="D29" s="60"/>
      <c r="E29" s="48"/>
      <c r="F29" s="48"/>
      <c r="G29" s="48"/>
      <c r="H29" s="48"/>
      <c r="I29" s="48"/>
      <c r="J29" s="48"/>
      <c r="K29" s="48"/>
      <c r="L29" s="48"/>
      <c r="M29" s="48"/>
      <c r="N29" s="48"/>
      <c r="O29" s="48"/>
      <c r="P29" s="48"/>
      <c r="Q29" s="48"/>
      <c r="R29" s="48"/>
    </row>
    <row r="30" spans="1:21" x14ac:dyDescent="0.25">
      <c r="A30" s="48"/>
      <c r="B30" s="48"/>
      <c r="C30" s="48"/>
      <c r="D30" s="60"/>
      <c r="E30" s="48"/>
      <c r="F30" s="48"/>
      <c r="G30" s="48"/>
      <c r="H30" s="48"/>
      <c r="I30" s="48"/>
      <c r="J30" s="48"/>
      <c r="K30" s="48"/>
      <c r="L30" s="48"/>
      <c r="M30" s="48"/>
      <c r="N30" s="48"/>
      <c r="O30" s="48"/>
      <c r="P30" s="48"/>
      <c r="Q30" s="48"/>
      <c r="R30" s="48"/>
    </row>
    <row r="31" spans="1:21" x14ac:dyDescent="0.25">
      <c r="A31" s="48"/>
      <c r="B31" s="48"/>
      <c r="C31" s="48"/>
      <c r="D31" s="60"/>
      <c r="E31" s="48"/>
      <c r="F31" s="48"/>
      <c r="G31" s="48"/>
      <c r="H31" s="48"/>
      <c r="I31" s="48"/>
      <c r="J31" s="48"/>
      <c r="K31" s="48"/>
      <c r="L31" s="48"/>
      <c r="M31" s="48"/>
      <c r="N31" s="48"/>
      <c r="O31" s="48"/>
      <c r="P31" s="48"/>
      <c r="Q31" s="48"/>
      <c r="R31" s="48"/>
    </row>
    <row r="32" spans="1:21" x14ac:dyDescent="0.25">
      <c r="A32" s="48"/>
      <c r="B32" s="48"/>
      <c r="C32" s="48"/>
      <c r="D32" s="60"/>
      <c r="E32" s="48"/>
      <c r="F32" s="48"/>
      <c r="G32" s="48"/>
      <c r="H32" s="48"/>
      <c r="I32" s="48"/>
      <c r="J32" s="48"/>
      <c r="K32" s="48"/>
      <c r="L32" s="48"/>
      <c r="M32" s="48"/>
      <c r="N32" s="48"/>
      <c r="O32" s="48"/>
      <c r="P32" s="48"/>
      <c r="Q32" s="48"/>
      <c r="R32" s="48"/>
    </row>
    <row r="33" spans="1:18" x14ac:dyDescent="0.25">
      <c r="A33" s="48"/>
      <c r="B33" s="48"/>
      <c r="C33" s="48"/>
      <c r="D33" s="60"/>
      <c r="E33" s="48"/>
      <c r="F33" s="48"/>
      <c r="G33" s="48"/>
      <c r="H33" s="48"/>
      <c r="I33" s="48"/>
      <c r="J33" s="48"/>
      <c r="K33" s="48"/>
      <c r="L33" s="48"/>
      <c r="M33" s="48"/>
      <c r="N33" s="48"/>
      <c r="O33" s="48"/>
      <c r="P33" s="48"/>
      <c r="Q33" s="48"/>
      <c r="R33" s="48"/>
    </row>
    <row r="34" spans="1:18" x14ac:dyDescent="0.25">
      <c r="A34" s="48"/>
      <c r="B34" s="48"/>
      <c r="C34" s="48"/>
      <c r="D34" s="60"/>
      <c r="E34" s="48"/>
      <c r="F34" s="48"/>
      <c r="G34" s="48"/>
      <c r="H34" s="48"/>
      <c r="I34" s="48"/>
      <c r="J34" s="48"/>
      <c r="K34" s="48"/>
      <c r="L34" s="48"/>
      <c r="M34" s="48"/>
      <c r="N34" s="48"/>
      <c r="O34" s="48"/>
      <c r="P34" s="48"/>
      <c r="Q34" s="48"/>
      <c r="R34" s="48"/>
    </row>
    <row r="35" spans="1:18" x14ac:dyDescent="0.25">
      <c r="A35" s="48"/>
      <c r="B35" s="48"/>
      <c r="C35" s="48"/>
      <c r="D35" s="60"/>
      <c r="E35" s="48"/>
      <c r="F35" s="48"/>
      <c r="G35" s="48"/>
      <c r="H35" s="48"/>
      <c r="I35" s="48"/>
      <c r="J35" s="48"/>
      <c r="K35" s="48"/>
      <c r="L35" s="48"/>
      <c r="M35" s="48"/>
      <c r="N35" s="48"/>
      <c r="O35" s="48"/>
      <c r="P35" s="48"/>
      <c r="Q35" s="48"/>
      <c r="R35" s="48"/>
    </row>
    <row r="36" spans="1:18" x14ac:dyDescent="0.25">
      <c r="A36" s="48"/>
      <c r="B36" s="48"/>
      <c r="C36" s="48"/>
      <c r="D36" s="60"/>
      <c r="E36" s="48"/>
      <c r="F36" s="48"/>
      <c r="G36" s="48"/>
      <c r="H36" s="48"/>
      <c r="I36" s="48"/>
      <c r="J36" s="48"/>
      <c r="K36" s="48"/>
      <c r="L36" s="48"/>
      <c r="M36" s="48"/>
      <c r="N36" s="48"/>
      <c r="O36" s="48"/>
      <c r="P36" s="48"/>
      <c r="Q36" s="48"/>
      <c r="R36" s="48"/>
    </row>
    <row r="37" spans="1:18" x14ac:dyDescent="0.25">
      <c r="A37" s="48"/>
      <c r="B37" s="48"/>
      <c r="C37" s="48"/>
      <c r="D37" s="60"/>
      <c r="E37" s="48"/>
      <c r="F37" s="48"/>
      <c r="G37" s="48"/>
      <c r="H37" s="48"/>
      <c r="I37" s="48"/>
      <c r="J37" s="48"/>
      <c r="K37" s="48"/>
      <c r="L37" s="48"/>
      <c r="M37" s="48"/>
      <c r="N37" s="48"/>
      <c r="O37" s="48"/>
      <c r="P37" s="48"/>
      <c r="Q37" s="48"/>
      <c r="R37" s="48"/>
    </row>
    <row r="38" spans="1:18" x14ac:dyDescent="0.25">
      <c r="A38" s="48"/>
      <c r="B38" s="48"/>
      <c r="C38" s="48"/>
      <c r="D38" s="60"/>
      <c r="E38" s="48"/>
      <c r="F38" s="48"/>
      <c r="G38" s="48"/>
      <c r="H38" s="48"/>
      <c r="I38" s="48"/>
      <c r="J38" s="48"/>
      <c r="K38" s="48"/>
      <c r="L38" s="48"/>
      <c r="M38" s="48"/>
      <c r="N38" s="48"/>
      <c r="O38" s="48"/>
      <c r="P38" s="48"/>
      <c r="Q38" s="48"/>
      <c r="R38" s="48"/>
    </row>
    <row r="39" spans="1:18" x14ac:dyDescent="0.25">
      <c r="A39" s="48"/>
      <c r="B39" s="48"/>
      <c r="C39" s="48"/>
      <c r="D39" s="60"/>
      <c r="E39" s="48"/>
      <c r="F39" s="48"/>
      <c r="G39" s="48"/>
      <c r="H39" s="48"/>
      <c r="I39" s="48"/>
      <c r="J39" s="48"/>
      <c r="K39" s="48"/>
      <c r="L39" s="48"/>
      <c r="M39" s="48"/>
      <c r="N39" s="48"/>
      <c r="O39" s="48"/>
      <c r="P39" s="48"/>
      <c r="Q39" s="48"/>
      <c r="R39" s="48"/>
    </row>
    <row r="40" spans="1:18" x14ac:dyDescent="0.25">
      <c r="A40" s="48"/>
      <c r="B40" s="48"/>
      <c r="C40" s="48"/>
      <c r="D40" s="60"/>
      <c r="E40" s="48"/>
      <c r="F40" s="48"/>
      <c r="G40" s="48"/>
      <c r="H40" s="48"/>
      <c r="I40" s="48"/>
      <c r="J40" s="48"/>
      <c r="K40" s="48"/>
      <c r="L40" s="48"/>
      <c r="M40" s="48"/>
      <c r="N40" s="48"/>
      <c r="O40" s="48"/>
      <c r="P40" s="48"/>
      <c r="Q40" s="48"/>
      <c r="R40" s="48"/>
    </row>
    <row r="41" spans="1:18" x14ac:dyDescent="0.25">
      <c r="A41" s="48"/>
      <c r="B41" s="48"/>
      <c r="C41" s="48"/>
      <c r="D41" s="60"/>
      <c r="E41" s="48"/>
      <c r="F41" s="48"/>
      <c r="G41" s="48"/>
      <c r="H41" s="48"/>
      <c r="I41" s="48"/>
      <c r="J41" s="48"/>
      <c r="K41" s="48"/>
      <c r="L41" s="48"/>
      <c r="M41" s="48"/>
      <c r="N41" s="48"/>
      <c r="O41" s="48"/>
      <c r="P41" s="48"/>
      <c r="Q41" s="48"/>
      <c r="R41" s="48"/>
    </row>
    <row r="42" spans="1:18" x14ac:dyDescent="0.25">
      <c r="A42" s="48"/>
      <c r="B42" s="48"/>
      <c r="C42" s="48"/>
      <c r="D42" s="60"/>
      <c r="E42" s="48"/>
      <c r="F42" s="48"/>
      <c r="G42" s="48"/>
      <c r="H42" s="48"/>
      <c r="I42" s="48"/>
      <c r="J42" s="48"/>
      <c r="K42" s="48"/>
      <c r="L42" s="48"/>
      <c r="M42" s="48"/>
      <c r="N42" s="48"/>
      <c r="O42" s="48"/>
      <c r="P42" s="48"/>
      <c r="Q42" s="48"/>
      <c r="R42" s="48"/>
    </row>
    <row r="43" spans="1:18" x14ac:dyDescent="0.25">
      <c r="A43" s="48"/>
      <c r="B43" s="48"/>
      <c r="C43" s="48"/>
      <c r="D43" s="60"/>
      <c r="E43" s="48"/>
      <c r="F43" s="48"/>
      <c r="G43" s="48"/>
      <c r="H43" s="48"/>
      <c r="I43" s="48"/>
      <c r="J43" s="48"/>
      <c r="K43" s="48"/>
      <c r="L43" s="48"/>
      <c r="M43" s="48"/>
      <c r="N43" s="48"/>
      <c r="O43" s="48"/>
      <c r="P43" s="48"/>
      <c r="Q43" s="48"/>
      <c r="R43" s="48"/>
    </row>
    <row r="44" spans="1:18" ht="33.75" customHeight="1" x14ac:dyDescent="0.5">
      <c r="A44" s="48"/>
      <c r="B44" s="132"/>
      <c r="C44" s="132"/>
      <c r="D44" s="132"/>
      <c r="E44" s="132"/>
      <c r="F44" s="132"/>
      <c r="G44" s="132"/>
      <c r="H44" s="132"/>
      <c r="I44" s="132"/>
      <c r="J44" s="132"/>
      <c r="K44" s="132"/>
      <c r="L44" s="132"/>
      <c r="M44" s="132"/>
      <c r="N44" s="132"/>
      <c r="O44" s="132"/>
      <c r="P44" s="132"/>
      <c r="Q44" s="132"/>
      <c r="R44" s="48"/>
    </row>
    <row r="45" spans="1:18" ht="15" customHeight="1" x14ac:dyDescent="0.25"/>
    <row r="46" spans="1:18" ht="15.75" customHeight="1" x14ac:dyDescent="0.25"/>
    <row r="47" spans="1:18" ht="18.75" customHeight="1" x14ac:dyDescent="0.25">
      <c r="D47"/>
    </row>
    <row r="48" spans="1:18" ht="18.75" customHeight="1" x14ac:dyDescent="0.25"/>
    <row r="49" spans="4:4" ht="18.75" customHeight="1" x14ac:dyDescent="0.25"/>
    <row r="50" spans="4:4" ht="18.75" customHeight="1" x14ac:dyDescent="0.25">
      <c r="D50"/>
    </row>
    <row r="51" spans="4:4" ht="18.75" customHeight="1" x14ac:dyDescent="0.25"/>
    <row r="52" spans="4:4" ht="18.75" customHeight="1" x14ac:dyDescent="0.25"/>
    <row r="53" spans="4:4" ht="18.75" customHeight="1" x14ac:dyDescent="0.25">
      <c r="D53"/>
    </row>
    <row r="54" spans="4:4" ht="18.75" customHeight="1" x14ac:dyDescent="0.25"/>
    <row r="55" spans="4:4" ht="18.75" customHeight="1" x14ac:dyDescent="0.25"/>
    <row r="56" spans="4:4" ht="18.75" customHeight="1" x14ac:dyDescent="0.25">
      <c r="D56"/>
    </row>
    <row r="57" spans="4:4" ht="18.75" customHeight="1" x14ac:dyDescent="0.25"/>
    <row r="58" spans="4:4" ht="18.75" customHeight="1" x14ac:dyDescent="0.25"/>
    <row r="59" spans="4:4" ht="18.75" customHeight="1" x14ac:dyDescent="0.25">
      <c r="D59"/>
    </row>
    <row r="60" spans="4:4" ht="18.75" customHeight="1" x14ac:dyDescent="0.25"/>
    <row r="61" spans="4:4" ht="18.75" customHeight="1" x14ac:dyDescent="0.25"/>
    <row r="62" spans="4:4" ht="18.75" customHeight="1" x14ac:dyDescent="0.25">
      <c r="D62"/>
    </row>
    <row r="63" spans="4:4" ht="18.75" customHeight="1" x14ac:dyDescent="0.25"/>
    <row r="65" spans="4:4" x14ac:dyDescent="0.25">
      <c r="D65"/>
    </row>
  </sheetData>
  <mergeCells count="14">
    <mergeCell ref="N1:Q3"/>
    <mergeCell ref="J5:K5"/>
    <mergeCell ref="J4:K4"/>
    <mergeCell ref="C20:D20"/>
    <mergeCell ref="C8:D8"/>
    <mergeCell ref="N18:Q20"/>
    <mergeCell ref="N9:Q9"/>
    <mergeCell ref="N10:Q12"/>
    <mergeCell ref="N14:Q17"/>
    <mergeCell ref="B4:F5"/>
    <mergeCell ref="B1:F3"/>
    <mergeCell ref="G4:H4"/>
    <mergeCell ref="G5:H5"/>
    <mergeCell ref="I1:L3"/>
  </mergeCells>
  <conditionalFormatting sqref="Q21:Q43 Q4:Q8 J5 H6:H43 G5:G19 Q45:Q1048576">
    <cfRule type="expression" dxfId="119" priority="49">
      <formula>G4&lt;0</formula>
    </cfRule>
  </conditionalFormatting>
  <conditionalFormatting sqref="P21:P43 P4:P8 P45:P1048576">
    <cfRule type="expression" dxfId="118" priority="50">
      <formula>P4&lt;0</formula>
    </cfRule>
  </conditionalFormatting>
  <conditionalFormatting sqref="O6:O8 O21:O43 O4 O45:O1048576">
    <cfRule type="expression" dxfId="117" priority="51">
      <formula>O4&lt;0</formula>
    </cfRule>
  </conditionalFormatting>
  <conditionalFormatting sqref="N21:N43 N14 N18 N4:N10 N45:N1048576">
    <cfRule type="expression" dxfId="116" priority="52">
      <formula>N4&lt;0</formula>
    </cfRule>
  </conditionalFormatting>
  <conditionalFormatting sqref="M6:M43 M4 M45:M1048576">
    <cfRule type="expression" dxfId="115" priority="53">
      <formula>M4&lt;0</formula>
    </cfRule>
  </conditionalFormatting>
  <conditionalFormatting sqref="L6:L43 L4 L45:L1048576">
    <cfRule type="expression" dxfId="114" priority="54">
      <formula>L4&lt;0</formula>
    </cfRule>
  </conditionalFormatting>
  <conditionalFormatting sqref="K6:K43 K4 K45:K1048576">
    <cfRule type="expression" dxfId="113" priority="55">
      <formula>K4&lt;0</formula>
    </cfRule>
  </conditionalFormatting>
  <conditionalFormatting sqref="J6:J43 J4 J45:J1048576">
    <cfRule type="expression" dxfId="112" priority="56">
      <formula>J4&lt;0</formula>
    </cfRule>
  </conditionalFormatting>
  <conditionalFormatting sqref="I6:I43 G4 I45:I1048576">
    <cfRule type="expression" dxfId="111" priority="57">
      <formula>G4&lt;0</formula>
    </cfRule>
  </conditionalFormatting>
  <conditionalFormatting sqref="H45:H1048576">
    <cfRule type="expression" dxfId="110" priority="58">
      <formula>H45&lt;0</formula>
    </cfRule>
  </conditionalFormatting>
  <conditionalFormatting sqref="Q5 J5 G5">
    <cfRule type="expression" dxfId="109" priority="47">
      <formula>G5&gt;0</formula>
    </cfRule>
    <cfRule type="expression" dxfId="108" priority="48">
      <formula>G5&lt;0</formula>
    </cfRule>
  </conditionalFormatting>
  <conditionalFormatting sqref="O5">
    <cfRule type="expression" dxfId="107" priority="44">
      <formula>O5&gt;0</formula>
    </cfRule>
    <cfRule type="expression" dxfId="106" priority="45">
      <formula>O5&lt;0</formula>
    </cfRule>
  </conditionalFormatting>
  <conditionalFormatting sqref="M5">
    <cfRule type="expression" dxfId="105" priority="43">
      <formula>M5&lt;0</formula>
    </cfRule>
  </conditionalFormatting>
  <conditionalFormatting sqref="M5">
    <cfRule type="expression" dxfId="104" priority="41">
      <formula>M5&gt;0</formula>
    </cfRule>
    <cfRule type="expression" dxfId="103" priority="42">
      <formula>M5&lt;0</formula>
    </cfRule>
  </conditionalFormatting>
  <conditionalFormatting sqref="L5">
    <cfRule type="expression" dxfId="102" priority="40">
      <formula>L5&lt;0</formula>
    </cfRule>
  </conditionalFormatting>
  <conditionalFormatting sqref="L5">
    <cfRule type="expression" dxfId="101" priority="38">
      <formula>L5&gt;0</formula>
    </cfRule>
    <cfRule type="expression" dxfId="100" priority="39">
      <formula>L5&lt;0</formula>
    </cfRule>
  </conditionalFormatting>
  <conditionalFormatting sqref="G21:G43 G45:G1048576">
    <cfRule type="expression" dxfId="99" priority="36">
      <formula>G21&lt;0</formula>
    </cfRule>
  </conditionalFormatting>
  <conditionalFormatting sqref="E20:G20">
    <cfRule type="expression" dxfId="98" priority="35">
      <formula>E20&lt;0</formula>
    </cfRule>
  </conditionalFormatting>
  <conditionalFormatting sqref="E20:G20">
    <cfRule type="expression" dxfId="97" priority="33">
      <formula>E20&gt;0</formula>
    </cfRule>
    <cfRule type="expression" dxfId="96" priority="34">
      <formula>E20&lt;0</formula>
    </cfRule>
  </conditionalFormatting>
  <conditionalFormatting sqref="N13:Q13 N10">
    <cfRule type="expression" dxfId="95" priority="31">
      <formula>"if n1&gt;0"</formula>
    </cfRule>
    <cfRule type="expression" dxfId="94" priority="32">
      <formula>"if N10&lt;1"</formula>
    </cfRule>
  </conditionalFormatting>
  <conditionalFormatting sqref="N18:Q20">
    <cfRule type="expression" dxfId="93" priority="29">
      <formula>"if n1&gt;0"</formula>
    </cfRule>
    <cfRule type="expression" dxfId="92" priority="30">
      <formula>"if N10&lt;1"</formula>
    </cfRule>
  </conditionalFormatting>
  <conditionalFormatting sqref="G4 I4:I5 G1:H3">
    <cfRule type="expression" dxfId="91" priority="5">
      <formula>G1&lt;0</formula>
    </cfRule>
  </conditionalFormatting>
  <conditionalFormatting sqref="G5">
    <cfRule type="expression" dxfId="90" priority="4">
      <formula>G5&lt;0</formula>
    </cfRule>
  </conditionalFormatting>
  <conditionalFormatting sqref="B4">
    <cfRule type="expression" dxfId="89" priority="3">
      <formula>B4&lt;0</formula>
    </cfRule>
  </conditionalFormatting>
  <conditionalFormatting sqref="B1">
    <cfRule type="expression" dxfId="88" priority="2">
      <formula>B1&lt;0</formula>
    </cfRule>
  </conditionalFormatting>
  <conditionalFormatting sqref="M1:M3">
    <cfRule type="expression" dxfId="87" priority="1">
      <formula>M1&lt;0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8" r:id="rId4" name="Scroll Bar 6">
              <controlPr defaultSize="0" autoPict="0">
                <anchor moveWithCells="1" sizeWithCells="1">
                  <from>
                    <xdr:col>1</xdr:col>
                    <xdr:colOff>466725</xdr:colOff>
                    <xdr:row>9</xdr:row>
                    <xdr:rowOff>0</xdr:rowOff>
                  </from>
                  <to>
                    <xdr:col>1</xdr:col>
                    <xdr:colOff>647700</xdr:colOff>
                    <xdr:row>18</xdr:row>
                    <xdr:rowOff>200025</xdr:rowOff>
                  </to>
                </anchor>
              </controlPr>
            </control>
          </mc:Choice>
        </mc:AlternateContent>
        <mc:AlternateContent xmlns:mc="http://schemas.openxmlformats.org/markup-compatibility/2006">
          <mc:Choice Requires="x14">
            <control shapeId="3074" r:id="rId5" name="Option Button 2">
              <controlPr defaultSize="0" autoFill="0" autoLine="0" autoPict="0">
                <anchor moveWithCells="1">
                  <from>
                    <xdr:col>4</xdr:col>
                    <xdr:colOff>0</xdr:colOff>
                    <xdr:row>7</xdr:row>
                    <xdr:rowOff>38100</xdr:rowOff>
                  </from>
                  <to>
                    <xdr:col>4</xdr:col>
                    <xdr:colOff>752475</xdr:colOff>
                    <xdr:row>7</xdr:row>
                    <xdr:rowOff>257175</xdr:rowOff>
                  </to>
                </anchor>
              </controlPr>
            </control>
          </mc:Choice>
        </mc:AlternateContent>
        <mc:AlternateContent xmlns:mc="http://schemas.openxmlformats.org/markup-compatibility/2006">
          <mc:Choice Requires="x14">
            <control shapeId="3079" r:id="rId6" name="Option Button 7">
              <controlPr defaultSize="0" autoFill="0" autoLine="0" autoPict="0">
                <anchor moveWithCells="1">
                  <from>
                    <xdr:col>5</xdr:col>
                    <xdr:colOff>0</xdr:colOff>
                    <xdr:row>7</xdr:row>
                    <xdr:rowOff>38100</xdr:rowOff>
                  </from>
                  <to>
                    <xdr:col>5</xdr:col>
                    <xdr:colOff>752475</xdr:colOff>
                    <xdr:row>7</xdr:row>
                    <xdr:rowOff>247650</xdr:rowOff>
                  </to>
                </anchor>
              </controlPr>
            </control>
          </mc:Choice>
        </mc:AlternateContent>
        <mc:AlternateContent xmlns:mc="http://schemas.openxmlformats.org/markup-compatibility/2006">
          <mc:Choice Requires="x14">
            <control shapeId="3081" r:id="rId7" name="Option Button 9">
              <controlPr defaultSize="0" autoFill="0" autoLine="0" autoPict="0">
                <anchor moveWithCells="1">
                  <from>
                    <xdr:col>6</xdr:col>
                    <xdr:colOff>0</xdr:colOff>
                    <xdr:row>7</xdr:row>
                    <xdr:rowOff>38100</xdr:rowOff>
                  </from>
                  <to>
                    <xdr:col>6</xdr:col>
                    <xdr:colOff>752475</xdr:colOff>
                    <xdr:row>7</xdr:row>
                    <xdr:rowOff>247650</xdr:rowOff>
                  </to>
                </anchor>
              </controlPr>
            </control>
          </mc:Choice>
        </mc:AlternateContent>
        <mc:AlternateContent xmlns:mc="http://schemas.openxmlformats.org/markup-compatibility/2006">
          <mc:Choice Requires="x14">
            <control shapeId="3082" r:id="rId8" name="Group Box 10">
              <controlPr defaultSize="0" autoFill="0" autoPict="0">
                <anchor moveWithCells="1">
                  <from>
                    <xdr:col>13</xdr:col>
                    <xdr:colOff>0</xdr:colOff>
                    <xdr:row>6</xdr:row>
                    <xdr:rowOff>0</xdr:rowOff>
                  </from>
                  <to>
                    <xdr:col>16</xdr:col>
                    <xdr:colOff>1238250</xdr:colOff>
                    <xdr:row>8</xdr:row>
                    <xdr:rowOff>0</xdr:rowOff>
                  </to>
                </anchor>
              </controlPr>
            </control>
          </mc:Choice>
        </mc:AlternateContent>
        <mc:AlternateContent xmlns:mc="http://schemas.openxmlformats.org/markup-compatibility/2006">
          <mc:Choice Requires="x14">
            <control shapeId="3084" r:id="rId9" name="Option Button 12">
              <controlPr defaultSize="0" autoFill="0" autoLine="0" autoPict="0">
                <anchor moveWithCells="1">
                  <from>
                    <xdr:col>15</xdr:col>
                    <xdr:colOff>647700</xdr:colOff>
                    <xdr:row>6</xdr:row>
                    <xdr:rowOff>209550</xdr:rowOff>
                  </from>
                  <to>
                    <xdr:col>16</xdr:col>
                    <xdr:colOff>971550</xdr:colOff>
                    <xdr:row>7</xdr:row>
                    <xdr:rowOff>19050</xdr:rowOff>
                  </to>
                </anchor>
              </controlPr>
            </control>
          </mc:Choice>
        </mc:AlternateContent>
        <mc:AlternateContent xmlns:mc="http://schemas.openxmlformats.org/markup-compatibility/2006">
          <mc:Choice Requires="x14">
            <control shapeId="3086" r:id="rId10" name="Option Button 14">
              <controlPr defaultSize="0" autoFill="0" autoLine="0" autoPict="0">
                <anchor moveWithCells="1">
                  <from>
                    <xdr:col>13</xdr:col>
                    <xdr:colOff>647700</xdr:colOff>
                    <xdr:row>6</xdr:row>
                    <xdr:rowOff>209550</xdr:rowOff>
                  </from>
                  <to>
                    <xdr:col>14</xdr:col>
                    <xdr:colOff>685800</xdr:colOff>
                    <xdr:row>7</xdr:row>
                    <xdr:rowOff>19050</xdr:rowOff>
                  </to>
                </anchor>
              </controlPr>
            </control>
          </mc:Choice>
        </mc:AlternateContent>
        <mc:AlternateContent xmlns:mc="http://schemas.openxmlformats.org/markup-compatibility/2006">
          <mc:Choice Requires="x14">
            <control shapeId="3090" r:id="rId11" name="Button 18">
              <controlPr defaultSize="0" print="0" autoFill="0" autoPict="0" macro="[0]!personal_stock_portfolio">
                <anchor moveWithCells="1" sizeWithCells="1">
                  <from>
                    <xdr:col>1</xdr:col>
                    <xdr:colOff>28575</xdr:colOff>
                    <xdr:row>0</xdr:row>
                    <xdr:rowOff>0</xdr:rowOff>
                  </from>
                  <to>
                    <xdr:col>6</xdr:col>
                    <xdr:colOff>295275</xdr:colOff>
                    <xdr:row>2</xdr:row>
                    <xdr:rowOff>361950</xdr:rowOff>
                  </to>
                </anchor>
              </controlPr>
            </control>
          </mc:Choice>
        </mc:AlternateContent>
        <mc:AlternateContent xmlns:mc="http://schemas.openxmlformats.org/markup-compatibility/2006">
          <mc:Choice Requires="x14">
            <control shapeId="3091" r:id="rId12" name="Button 19">
              <controlPr defaultSize="0" print="0" autoFill="0" autoPict="0" macro="[0]!Dash_Current_Holdings">
                <anchor moveWithCells="1" sizeWithCells="1">
                  <from>
                    <xdr:col>12</xdr:col>
                    <xdr:colOff>685800</xdr:colOff>
                    <xdr:row>0</xdr:row>
                    <xdr:rowOff>9525</xdr:rowOff>
                  </from>
                  <to>
                    <xdr:col>17</xdr:col>
                    <xdr:colOff>28575</xdr:colOff>
                    <xdr:row>2</xdr:row>
                    <xdr:rowOff>371475</xdr:rowOff>
                  </to>
                </anchor>
              </controlPr>
            </control>
          </mc:Choice>
        </mc:AlternateContent>
        <mc:AlternateContent xmlns:mc="http://schemas.openxmlformats.org/markup-compatibility/2006">
          <mc:Choice Requires="x14">
            <control shapeId="3093" r:id="rId13" name="Button 21">
              <controlPr defaultSize="0" print="0" autoFill="0" autoPict="0" macro="[0]!dash_date_button">
                <anchor moveWithCells="1" sizeWithCells="1">
                  <from>
                    <xdr:col>7</xdr:col>
                    <xdr:colOff>9525</xdr:colOff>
                    <xdr:row>0</xdr:row>
                    <xdr:rowOff>28575</xdr:rowOff>
                  </from>
                  <to>
                    <xdr:col>11</xdr:col>
                    <xdr:colOff>1019175</xdr:colOff>
                    <xdr:row>2</xdr:row>
                    <xdr:rowOff>352425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AEEA2-07AF-42E4-A90C-5FB4A693403E}">
  <sheetPr codeName="Sheet2"/>
  <dimension ref="A1:R26"/>
  <sheetViews>
    <sheetView showGridLines="0" showRowColHeaders="0" zoomScaleNormal="100" workbookViewId="0">
      <selection activeCell="L32" sqref="L32"/>
    </sheetView>
  </sheetViews>
  <sheetFormatPr defaultRowHeight="15" x14ac:dyDescent="0.25"/>
  <cols>
    <col min="1" max="1" width="2.85546875" customWidth="1"/>
    <col min="2" max="2" width="4.5703125" customWidth="1"/>
    <col min="3" max="3" width="9" bestFit="1" customWidth="1"/>
    <col min="4" max="4" width="24.85546875" bestFit="1" customWidth="1"/>
    <col min="5" max="5" width="21.28515625" bestFit="1" customWidth="1"/>
    <col min="6" max="6" width="11.5703125" customWidth="1"/>
    <col min="7" max="7" width="16.85546875" bestFit="1" customWidth="1"/>
    <col min="8" max="8" width="11.85546875" customWidth="1"/>
    <col min="9" max="9" width="12.42578125" bestFit="1" customWidth="1"/>
    <col min="10" max="10" width="18.7109375" bestFit="1" customWidth="1"/>
    <col min="11" max="11" width="11.28515625" customWidth="1"/>
    <col min="12" max="12" width="22.140625" bestFit="1" customWidth="1"/>
    <col min="13" max="13" width="20" bestFit="1" customWidth="1"/>
    <col min="14" max="14" width="19.28515625" bestFit="1" customWidth="1"/>
    <col min="15" max="15" width="22.140625" bestFit="1" customWidth="1"/>
    <col min="16" max="16" width="9" bestFit="1" customWidth="1"/>
    <col min="17" max="17" width="21.140625" bestFit="1" customWidth="1"/>
    <col min="18" max="18" width="3.28515625" customWidth="1"/>
  </cols>
  <sheetData>
    <row r="1" spans="1:18" ht="22.5" customHeight="1" x14ac:dyDescent="0.25">
      <c r="A1" s="48"/>
      <c r="B1" s="188"/>
      <c r="C1" s="188"/>
      <c r="D1" s="188"/>
      <c r="E1" s="188"/>
      <c r="F1" s="188"/>
      <c r="G1" s="97"/>
      <c r="H1" s="97"/>
      <c r="I1" s="188"/>
      <c r="J1" s="188"/>
      <c r="K1" s="188"/>
      <c r="L1" s="188"/>
      <c r="M1" s="97"/>
      <c r="N1" s="172"/>
      <c r="O1" s="172"/>
      <c r="P1" s="172"/>
      <c r="Q1" s="172"/>
      <c r="R1" s="48"/>
    </row>
    <row r="2" spans="1:18" s="131" customFormat="1" ht="15" customHeight="1" x14ac:dyDescent="0.25">
      <c r="A2" s="48"/>
      <c r="B2" s="188"/>
      <c r="C2" s="188"/>
      <c r="D2" s="188"/>
      <c r="E2" s="188"/>
      <c r="F2" s="188"/>
      <c r="G2" s="97"/>
      <c r="H2" s="97"/>
      <c r="I2" s="188"/>
      <c r="J2" s="188"/>
      <c r="K2" s="188"/>
      <c r="L2" s="188"/>
      <c r="M2" s="97"/>
      <c r="N2" s="172"/>
      <c r="O2" s="172"/>
      <c r="P2" s="172"/>
      <c r="Q2" s="172"/>
      <c r="R2" s="48"/>
    </row>
    <row r="3" spans="1:18" s="131" customFormat="1" ht="18" customHeight="1" x14ac:dyDescent="0.25">
      <c r="A3" s="48"/>
      <c r="B3" s="188"/>
      <c r="C3" s="188"/>
      <c r="D3" s="188"/>
      <c r="E3" s="188"/>
      <c r="F3" s="188"/>
      <c r="G3" s="97"/>
      <c r="H3" s="97"/>
      <c r="I3" s="188"/>
      <c r="J3" s="188"/>
      <c r="K3" s="188"/>
      <c r="L3" s="188"/>
      <c r="M3" s="97"/>
      <c r="N3" s="172"/>
      <c r="O3" s="172"/>
      <c r="P3" s="172"/>
      <c r="Q3" s="172"/>
      <c r="R3" s="48"/>
    </row>
    <row r="4" spans="1:18" s="56" customFormat="1" ht="30" customHeight="1" x14ac:dyDescent="0.25">
      <c r="A4" s="48"/>
      <c r="B4" s="187" t="s">
        <v>128</v>
      </c>
      <c r="C4" s="187"/>
      <c r="D4" s="187"/>
      <c r="E4" s="187"/>
      <c r="F4" s="187"/>
      <c r="G4" s="174" t="s">
        <v>116</v>
      </c>
      <c r="H4" s="174"/>
      <c r="I4" s="97"/>
      <c r="J4" s="174" t="s">
        <v>97</v>
      </c>
      <c r="K4" s="174"/>
      <c r="L4" s="97" t="s">
        <v>114</v>
      </c>
      <c r="M4" s="97" t="s">
        <v>98</v>
      </c>
      <c r="N4" s="97"/>
      <c r="O4" s="98" t="s">
        <v>99</v>
      </c>
      <c r="P4" s="99"/>
      <c r="Q4" s="97" t="s">
        <v>100</v>
      </c>
      <c r="R4" s="48"/>
    </row>
    <row r="5" spans="1:18" s="140" customFormat="1" ht="29.25" customHeight="1" thickBot="1" x14ac:dyDescent="0.45">
      <c r="A5" s="136"/>
      <c r="B5" s="187"/>
      <c r="C5" s="187"/>
      <c r="D5" s="187"/>
      <c r="E5" s="187"/>
      <c r="F5" s="187"/>
      <c r="G5" s="196">
        <f ca="1">SUM(_xlfn.ANCHORARRAY(G9))</f>
        <v>34174.237999999998</v>
      </c>
      <c r="H5" s="196"/>
      <c r="I5" s="137"/>
      <c r="J5" s="197">
        <f>Calculations!H37</f>
        <v>123201.09397253738</v>
      </c>
      <c r="K5" s="197"/>
      <c r="L5" s="138">
        <f ca="1">Calculations!H38</f>
        <v>199228.62246926239</v>
      </c>
      <c r="M5" s="138">
        <f ca="1">SUM(_xlfn.ANCHORARRAY(O9))</f>
        <v>78830.848394884219</v>
      </c>
      <c r="N5" s="139"/>
      <c r="O5" s="138">
        <f>SUM(_xlfn.ANCHORARRAY(J9))</f>
        <v>113005.08639488419</v>
      </c>
      <c r="P5" s="102"/>
      <c r="Q5" s="138">
        <f ca="1">SUM(Profit_Loss)</f>
        <v>-69019.877314843092</v>
      </c>
      <c r="R5" s="136"/>
    </row>
    <row r="6" spans="1:18" ht="34.5" thickTop="1" x14ac:dyDescent="0.5">
      <c r="A6" s="48"/>
      <c r="B6" s="132" t="s">
        <v>103</v>
      </c>
      <c r="C6" s="132"/>
      <c r="D6" s="132"/>
      <c r="E6" s="48"/>
      <c r="F6" s="48"/>
      <c r="G6" s="48"/>
      <c r="H6" s="48"/>
      <c r="I6" s="48"/>
      <c r="J6" s="48"/>
      <c r="K6" s="48"/>
      <c r="L6" s="48"/>
      <c r="M6" s="48"/>
      <c r="N6" s="48"/>
      <c r="O6" s="48"/>
      <c r="P6" s="48"/>
      <c r="Q6" s="48"/>
      <c r="R6" s="48"/>
    </row>
    <row r="7" spans="1:18" x14ac:dyDescent="0.25">
      <c r="A7" s="48"/>
      <c r="B7" s="48"/>
      <c r="C7" s="190" t="s">
        <v>26</v>
      </c>
      <c r="D7" s="191" t="s">
        <v>77</v>
      </c>
      <c r="E7" s="192"/>
      <c r="F7" s="193" t="s">
        <v>81</v>
      </c>
      <c r="G7" s="194"/>
      <c r="H7" s="194"/>
      <c r="I7" s="193" t="s">
        <v>104</v>
      </c>
      <c r="J7" s="194"/>
      <c r="K7" s="194"/>
      <c r="L7" s="194"/>
      <c r="M7" s="194"/>
      <c r="N7" s="195"/>
      <c r="O7" s="193" t="s">
        <v>105</v>
      </c>
      <c r="P7" s="195"/>
      <c r="Q7" s="58" t="s">
        <v>106</v>
      </c>
      <c r="R7" s="48"/>
    </row>
    <row r="8" spans="1:18" ht="15.75" x14ac:dyDescent="0.25">
      <c r="A8" s="48"/>
      <c r="B8" s="48"/>
      <c r="C8" s="190"/>
      <c r="D8" s="61" t="s">
        <v>107</v>
      </c>
      <c r="E8" s="62" t="s">
        <v>76</v>
      </c>
      <c r="F8" s="63" t="s">
        <v>66</v>
      </c>
      <c r="G8" s="64" t="s">
        <v>71</v>
      </c>
      <c r="H8" s="62" t="s">
        <v>108</v>
      </c>
      <c r="I8" s="65" t="s">
        <v>66</v>
      </c>
      <c r="J8" s="66" t="s">
        <v>71</v>
      </c>
      <c r="K8" s="66" t="s">
        <v>108</v>
      </c>
      <c r="L8" s="66" t="s">
        <v>109</v>
      </c>
      <c r="M8" s="66" t="s">
        <v>110</v>
      </c>
      <c r="N8" s="67" t="s">
        <v>111</v>
      </c>
      <c r="O8" s="65" t="s">
        <v>71</v>
      </c>
      <c r="P8" s="67" t="s">
        <v>108</v>
      </c>
      <c r="Q8" s="66" t="s">
        <v>71</v>
      </c>
      <c r="R8" s="48"/>
    </row>
    <row r="9" spans="1:18" ht="18.75" x14ac:dyDescent="0.3">
      <c r="A9" s="48"/>
      <c r="B9" s="48"/>
      <c r="C9" s="129" t="str" cm="1">
        <f t="array" ref="C9:C24">_xlfn._xlws.FILTER(_xlfn.ANCHORARRAY(Calculations!A2),_xlfn.ANCHORARRAY(Calculations!R2))</f>
        <v>3DP</v>
      </c>
      <c r="D9" s="106" cm="1">
        <f t="array" ref="D9:D24">INDEX(_xlfn.ANCHORARRAY(Calculations!R2),MATCH(_xlfn.ANCHORARRAY(C9),_xlfn.ANCHORARRAY(Calculations!A2),0))</f>
        <v>3846</v>
      </c>
      <c r="E9" s="107" cm="1">
        <f t="array" aca="1" ref="E9:E24" ca="1">INDEX(_xlfn.ANCHORARRAY(Calculations!S2),MATCH(_xlfn.ANCHORARRAY(C9),_xlfn.ANCHORARRAY(Calculations!A2),0))</f>
        <v>3846</v>
      </c>
      <c r="F9" s="108" cm="1">
        <f t="array" aca="1" ref="F9:F24" ca="1">INDEX(_xlfn.ANCHORARRAY(Calculations!V2),MATCH(_xlfn.ANCHORARRAY(C9),_xlfn.ANCHORARRAY(Calculations!A2),0))</f>
        <v>0.52</v>
      </c>
      <c r="G9" s="109" cm="1">
        <f t="array" aca="1" ref="G9:G24" ca="1">INDEX(_xlfn.ANCHORARRAY(Calculations!U2),MATCH(_xlfn.ANCHORARRAY(C9),_xlfn.ANCHORARRAY(Calculations!A2),0))</f>
        <v>1999.92</v>
      </c>
      <c r="H9" s="110" cm="1">
        <f t="array" aca="1" ref="H9:H24" ca="1">_xlfn.ANCHORARRAY(G9)/SUM(_xlfn.ANCHORARRAY(G9))</f>
        <v>5.8521275587768783E-2</v>
      </c>
      <c r="I9" s="111" cm="1">
        <f t="array" ref="I9:I24">INDEX(Calculations!X2:X34,MATCH(_xlfn.ANCHORARRAY(C9),_xlfn.ANCHORARRAY(Calculations!A2),0))</f>
        <v>0.17</v>
      </c>
      <c r="J9" s="112" cm="1">
        <f t="array" ref="J9:J24">_xlfn.ANCHORARRAY(D9)*_xlfn.ANCHORARRAY(I9)</f>
        <v>653.82000000000005</v>
      </c>
      <c r="K9" s="113" cm="1">
        <f t="array" ref="K9:K24">_xlfn.ANCHORARRAY(J9)/SUM(_xlfn.ANCHORARRAY(J9))</f>
        <v>5.7857572686179455E-3</v>
      </c>
      <c r="L9" s="111" t="s">
        <v>112</v>
      </c>
      <c r="M9" s="111" t="s">
        <v>112</v>
      </c>
      <c r="N9" s="111" t="s">
        <v>112</v>
      </c>
      <c r="O9" s="111" cm="1">
        <f t="array" aca="1" ref="O9:O24" ca="1">(_xlfn.ANCHORARRAY(I9)-_xlfn.ANCHORARRAY(F9))*_xlfn.ANCHORARRAY(D9)</f>
        <v>-1346.1</v>
      </c>
      <c r="P9" s="112" cm="1">
        <f t="array" aca="1" ref="P9:P24" ca="1">IFERROR(((_xlfn.ANCHORARRAY(I9)-_xlfn.ANCHORARRAY(F9))/_xlfn.ANCHORARRAY(F9)),0)</f>
        <v>-0.67307692307692302</v>
      </c>
      <c r="Q9" s="111" cm="1">
        <f t="array" aca="1" ref="Q9:Q24" ca="1">INDEX(_xlfn.ANCHORARRAY(Calculations!M2),MATCH(_xlfn.ANCHORARRAY(C9),_xlfn.ANCHORARRAY(Calculations!A2),0))</f>
        <v>0</v>
      </c>
      <c r="R9" s="48"/>
    </row>
    <row r="10" spans="1:18" ht="18.75" x14ac:dyDescent="0.3">
      <c r="A10" s="48"/>
      <c r="B10" s="48"/>
      <c r="C10" s="130" t="str">
        <v>ADA</v>
      </c>
      <c r="D10" s="114">
        <v>3613.7</v>
      </c>
      <c r="E10" s="115">
        <f ca="1"/>
        <v>0</v>
      </c>
      <c r="F10" s="116">
        <f ca="1"/>
        <v>0</v>
      </c>
      <c r="G10" s="117">
        <f ca="1"/>
        <v>0</v>
      </c>
      <c r="H10" s="118">
        <f ca="1"/>
        <v>0</v>
      </c>
      <c r="I10" s="119">
        <v>0.56999999999999995</v>
      </c>
      <c r="J10" s="120">
        <v>2059.8089999999997</v>
      </c>
      <c r="K10" s="121">
        <v>1.8227577764085925E-2</v>
      </c>
      <c r="L10" s="119" t="s">
        <v>112</v>
      </c>
      <c r="M10" s="119" t="s">
        <v>112</v>
      </c>
      <c r="N10" s="119" t="s">
        <v>112</v>
      </c>
      <c r="O10" s="119">
        <f ca="1"/>
        <v>2059.8089999999997</v>
      </c>
      <c r="P10" s="120">
        <f ca="1"/>
        <v>0</v>
      </c>
      <c r="Q10" s="119">
        <f ca="1"/>
        <v>-7898.0725859999993</v>
      </c>
      <c r="R10" s="48"/>
    </row>
    <row r="11" spans="1:18" ht="18.75" x14ac:dyDescent="0.3">
      <c r="A11" s="48"/>
      <c r="B11" s="48"/>
      <c r="C11" s="130" t="str">
        <v>ANL</v>
      </c>
      <c r="D11" s="114">
        <v>500000</v>
      </c>
      <c r="E11" s="115">
        <f ca="1"/>
        <v>1500000</v>
      </c>
      <c r="F11" s="116">
        <f ca="1"/>
        <v>2E-3</v>
      </c>
      <c r="G11" s="117">
        <f ca="1"/>
        <v>1000</v>
      </c>
      <c r="H11" s="118">
        <f ca="1"/>
        <v>2.9261808266215036E-2</v>
      </c>
      <c r="I11" s="119">
        <v>1E-3</v>
      </c>
      <c r="J11" s="120">
        <v>500</v>
      </c>
      <c r="K11" s="121">
        <v>4.4245796003624426E-3</v>
      </c>
      <c r="L11" s="119" t="s">
        <v>112</v>
      </c>
      <c r="M11" s="119" t="s">
        <v>112</v>
      </c>
      <c r="N11" s="119" t="s">
        <v>112</v>
      </c>
      <c r="O11" s="119">
        <f ca="1"/>
        <v>-500</v>
      </c>
      <c r="P11" s="120">
        <f ca="1"/>
        <v>-0.5</v>
      </c>
      <c r="Q11" s="119">
        <f ca="1"/>
        <v>966.75</v>
      </c>
      <c r="R11" s="48"/>
    </row>
    <row r="12" spans="1:18" ht="18.75" x14ac:dyDescent="0.3">
      <c r="A12" s="48"/>
      <c r="B12" s="48"/>
      <c r="C12" s="130" t="str">
        <v>AXS</v>
      </c>
      <c r="D12" s="114">
        <v>479.15</v>
      </c>
      <c r="E12" s="115">
        <f ca="1"/>
        <v>0</v>
      </c>
      <c r="F12" s="116">
        <f ca="1"/>
        <v>0</v>
      </c>
      <c r="G12" s="117">
        <f ca="1"/>
        <v>0</v>
      </c>
      <c r="H12" s="118">
        <f ca="1"/>
        <v>0</v>
      </c>
      <c r="I12" s="119">
        <v>62.77</v>
      </c>
      <c r="J12" s="120">
        <v>30076.245500000001</v>
      </c>
      <c r="K12" s="121">
        <v>0.26614948458958543</v>
      </c>
      <c r="L12" s="119" t="s">
        <v>112</v>
      </c>
      <c r="M12" s="119" t="s">
        <v>112</v>
      </c>
      <c r="N12" s="119" t="s">
        <v>112</v>
      </c>
      <c r="O12" s="119">
        <f ca="1"/>
        <v>30076.245500000001</v>
      </c>
      <c r="P12" s="120">
        <f ca="1"/>
        <v>0</v>
      </c>
      <c r="Q12" s="119">
        <f ca="1"/>
        <v>-59756.884652169836</v>
      </c>
      <c r="R12" s="48"/>
    </row>
    <row r="13" spans="1:18" ht="18.75" x14ac:dyDescent="0.3">
      <c r="A13" s="48"/>
      <c r="B13" s="48"/>
      <c r="C13" s="130" t="str">
        <v>BNB</v>
      </c>
      <c r="D13" s="114">
        <v>11.151006489999995</v>
      </c>
      <c r="E13" s="115">
        <f ca="1"/>
        <v>0</v>
      </c>
      <c r="F13" s="116">
        <f ca="1"/>
        <v>0</v>
      </c>
      <c r="G13" s="117">
        <f ca="1"/>
        <v>0</v>
      </c>
      <c r="H13" s="118">
        <f ca="1"/>
        <v>0</v>
      </c>
      <c r="I13" s="119">
        <v>454.78</v>
      </c>
      <c r="J13" s="120">
        <v>5071.2547315221973</v>
      </c>
      <c r="K13" s="121">
        <v>4.4876340466669259E-2</v>
      </c>
      <c r="L13" s="119" t="s">
        <v>112</v>
      </c>
      <c r="M13" s="119" t="s">
        <v>112</v>
      </c>
      <c r="N13" s="119" t="s">
        <v>112</v>
      </c>
      <c r="O13" s="119">
        <f ca="1"/>
        <v>5071.2547315221973</v>
      </c>
      <c r="P13" s="120">
        <f ca="1"/>
        <v>0</v>
      </c>
      <c r="Q13" s="119">
        <f ca="1"/>
        <v>-7598.0790121734844</v>
      </c>
      <c r="R13" s="48"/>
    </row>
    <row r="14" spans="1:18" ht="18.75" x14ac:dyDescent="0.3">
      <c r="A14" s="48"/>
      <c r="B14" s="48"/>
      <c r="C14" s="130" t="str">
        <v>BUB</v>
      </c>
      <c r="D14" s="114">
        <v>37801</v>
      </c>
      <c r="E14" s="115">
        <f ca="1"/>
        <v>40933</v>
      </c>
      <c r="F14" s="116">
        <f ca="1"/>
        <v>0.59850757916457231</v>
      </c>
      <c r="G14" s="117">
        <f ca="1"/>
        <v>22624.184999999998</v>
      </c>
      <c r="H14" s="118">
        <f ca="1"/>
        <v>0.66202456364937823</v>
      </c>
      <c r="I14" s="119">
        <v>0.28000000000000003</v>
      </c>
      <c r="J14" s="120">
        <v>10584.28</v>
      </c>
      <c r="K14" s="121">
        <v>9.3661978745048405E-2</v>
      </c>
      <c r="L14" s="119" t="s">
        <v>112</v>
      </c>
      <c r="M14" s="119" t="s">
        <v>112</v>
      </c>
      <c r="N14" s="119" t="s">
        <v>112</v>
      </c>
      <c r="O14" s="119">
        <f ca="1"/>
        <v>-12039.904999999997</v>
      </c>
      <c r="P14" s="120">
        <f ca="1"/>
        <v>-0.53216966710624047</v>
      </c>
      <c r="Q14" s="119">
        <f ca="1"/>
        <v>-3118.4308270086422</v>
      </c>
      <c r="R14" s="48"/>
    </row>
    <row r="15" spans="1:18" ht="18.75" x14ac:dyDescent="0.3">
      <c r="A15" s="48"/>
      <c r="B15" s="48"/>
      <c r="C15" s="130" t="str">
        <v>BUD</v>
      </c>
      <c r="D15" s="114">
        <v>388888</v>
      </c>
      <c r="E15" s="115">
        <f ca="1"/>
        <v>419196</v>
      </c>
      <c r="F15" s="116">
        <f ca="1"/>
        <v>1.169999588570488E-2</v>
      </c>
      <c r="G15" s="117">
        <f ca="1"/>
        <v>4549.9879999999994</v>
      </c>
      <c r="H15" s="118">
        <f ca="1"/>
        <v>0.1331408764695792</v>
      </c>
      <c r="I15" s="119">
        <v>0.13</v>
      </c>
      <c r="J15" s="120">
        <v>50555.44</v>
      </c>
      <c r="K15" s="121">
        <v>0.44737313702269493</v>
      </c>
      <c r="L15" s="119" t="s">
        <v>112</v>
      </c>
      <c r="M15" s="119" t="s">
        <v>112</v>
      </c>
      <c r="N15" s="119" t="s">
        <v>112</v>
      </c>
      <c r="O15" s="119">
        <f ca="1"/>
        <v>46005.452000000005</v>
      </c>
      <c r="P15" s="120">
        <f ca="1"/>
        <v>10.111115018325325</v>
      </c>
      <c r="Q15" s="119">
        <f ca="1"/>
        <v>196.80825183411727</v>
      </c>
      <c r="R15" s="48"/>
    </row>
    <row r="16" spans="1:18" ht="18.75" x14ac:dyDescent="0.3">
      <c r="A16" s="48"/>
      <c r="B16" s="48"/>
      <c r="C16" s="130" t="str">
        <v>DOGE</v>
      </c>
      <c r="D16" s="114">
        <v>2.1537399999942863E-2</v>
      </c>
      <c r="E16" s="115">
        <f ca="1"/>
        <v>0</v>
      </c>
      <c r="F16" s="116">
        <f ca="1"/>
        <v>0</v>
      </c>
      <c r="G16" s="117">
        <f ca="1"/>
        <v>0</v>
      </c>
      <c r="H16" s="118">
        <f ca="1"/>
        <v>0</v>
      </c>
      <c r="I16" s="119">
        <v>0.13</v>
      </c>
      <c r="J16" s="120">
        <v>2.7998619999925725E-3</v>
      </c>
      <c r="K16" s="121">
        <v>2.4776424577994252E-8</v>
      </c>
      <c r="L16" s="119" t="s">
        <v>112</v>
      </c>
      <c r="M16" s="119" t="s">
        <v>112</v>
      </c>
      <c r="N16" s="119" t="s">
        <v>112</v>
      </c>
      <c r="O16" s="119">
        <f ca="1"/>
        <v>2.7998619999925725E-3</v>
      </c>
      <c r="P16" s="120">
        <f ca="1"/>
        <v>0</v>
      </c>
      <c r="Q16" s="119">
        <f ca="1"/>
        <v>-51.18604244241093</v>
      </c>
      <c r="R16" s="48"/>
    </row>
    <row r="17" spans="1:18" ht="18.75" x14ac:dyDescent="0.3">
      <c r="A17" s="48"/>
      <c r="B17" s="48"/>
      <c r="C17" s="130" t="str">
        <v>DUG</v>
      </c>
      <c r="D17" s="114">
        <v>671</v>
      </c>
      <c r="E17" s="115">
        <f ca="1"/>
        <v>671</v>
      </c>
      <c r="F17" s="116">
        <f ca="1"/>
        <v>1.49</v>
      </c>
      <c r="G17" s="117">
        <f ca="1"/>
        <v>999.79</v>
      </c>
      <c r="H17" s="118">
        <f ca="1"/>
        <v>2.9255663286479133E-2</v>
      </c>
      <c r="I17" s="119">
        <v>0.88</v>
      </c>
      <c r="J17" s="120">
        <v>590.48</v>
      </c>
      <c r="K17" s="121">
        <v>5.2252515248440304E-3</v>
      </c>
      <c r="L17" s="119" t="s">
        <v>112</v>
      </c>
      <c r="M17" s="119" t="s">
        <v>112</v>
      </c>
      <c r="N17" s="119" t="s">
        <v>112</v>
      </c>
      <c r="O17" s="119">
        <f ca="1"/>
        <v>-409.31</v>
      </c>
      <c r="P17" s="120">
        <f ca="1"/>
        <v>-0.40939597315436244</v>
      </c>
      <c r="Q17" s="119">
        <f ca="1"/>
        <v>0</v>
      </c>
      <c r="R17" s="48"/>
    </row>
    <row r="18" spans="1:18" ht="18.75" x14ac:dyDescent="0.3">
      <c r="A18" s="48"/>
      <c r="B18" s="48"/>
      <c r="C18" s="130" t="str">
        <v>MANA</v>
      </c>
      <c r="D18" s="114">
        <v>201</v>
      </c>
      <c r="E18" s="115">
        <f ca="1"/>
        <v>0</v>
      </c>
      <c r="F18" s="116">
        <f ca="1"/>
        <v>0</v>
      </c>
      <c r="G18" s="117">
        <f ca="1"/>
        <v>0</v>
      </c>
      <c r="H18" s="118">
        <f ca="1"/>
        <v>0</v>
      </c>
      <c r="I18" s="119">
        <v>1.07</v>
      </c>
      <c r="J18" s="120">
        <v>215.07000000000002</v>
      </c>
      <c r="K18" s="121">
        <v>1.9031886692999014E-3</v>
      </c>
      <c r="L18" s="119" t="s">
        <v>112</v>
      </c>
      <c r="M18" s="119" t="s">
        <v>112</v>
      </c>
      <c r="N18" s="119" t="s">
        <v>112</v>
      </c>
      <c r="O18" s="119">
        <f ca="1"/>
        <v>215.07000000000002</v>
      </c>
      <c r="P18" s="120">
        <f ca="1"/>
        <v>0</v>
      </c>
      <c r="Q18" s="119">
        <f ca="1"/>
        <v>-1097.2427075328167</v>
      </c>
      <c r="R18" s="48"/>
    </row>
    <row r="19" spans="1:18" ht="18.75" x14ac:dyDescent="0.3">
      <c r="A19" s="48"/>
      <c r="B19" s="48"/>
      <c r="C19" s="130" t="str">
        <v>PYR</v>
      </c>
      <c r="D19" s="114">
        <v>967</v>
      </c>
      <c r="E19" s="115">
        <f ca="1"/>
        <v>967</v>
      </c>
      <c r="F19" s="116">
        <f ca="1"/>
        <v>1.0349999999999999</v>
      </c>
      <c r="G19" s="117">
        <f ca="1"/>
        <v>1000.8449999999999</v>
      </c>
      <c r="H19" s="118">
        <f ca="1"/>
        <v>2.9286534494199986E-2</v>
      </c>
      <c r="I19" s="119">
        <v>0.04</v>
      </c>
      <c r="J19" s="120">
        <v>38.68</v>
      </c>
      <c r="K19" s="121">
        <v>3.4228547788403855E-4</v>
      </c>
      <c r="L19" s="119" t="s">
        <v>112</v>
      </c>
      <c r="M19" s="119" t="s">
        <v>112</v>
      </c>
      <c r="N19" s="119" t="s">
        <v>112</v>
      </c>
      <c r="O19" s="119">
        <f ca="1"/>
        <v>-962.16499999999985</v>
      </c>
      <c r="P19" s="120">
        <f ca="1"/>
        <v>-0.96135265700483086</v>
      </c>
      <c r="Q19" s="119">
        <f ca="1"/>
        <v>0</v>
      </c>
      <c r="R19" s="48"/>
    </row>
    <row r="20" spans="1:18" ht="18.75" x14ac:dyDescent="0.3">
      <c r="A20" s="48"/>
      <c r="B20" s="48"/>
      <c r="C20" s="130" t="str">
        <v>SHG</v>
      </c>
      <c r="D20" s="114">
        <v>1851</v>
      </c>
      <c r="E20" s="115">
        <f ca="1"/>
        <v>1851</v>
      </c>
      <c r="F20" s="116">
        <f ca="1"/>
        <v>0.54</v>
      </c>
      <c r="G20" s="117">
        <f ca="1"/>
        <v>999.54000000000008</v>
      </c>
      <c r="H20" s="118">
        <f ca="1"/>
        <v>2.9248347834412582E-2</v>
      </c>
      <c r="I20" s="119">
        <v>0.11</v>
      </c>
      <c r="J20" s="120">
        <v>203.61</v>
      </c>
      <c r="K20" s="121">
        <v>1.801777304859594E-3</v>
      </c>
      <c r="L20" s="119" t="s">
        <v>112</v>
      </c>
      <c r="M20" s="119" t="s">
        <v>112</v>
      </c>
      <c r="N20" s="119" t="s">
        <v>112</v>
      </c>
      <c r="O20" s="119">
        <f ca="1"/>
        <v>-795.93000000000006</v>
      </c>
      <c r="P20" s="120">
        <f ca="1"/>
        <v>-0.79629629629629628</v>
      </c>
      <c r="Q20" s="119">
        <f ca="1"/>
        <v>0</v>
      </c>
      <c r="R20" s="48"/>
    </row>
    <row r="21" spans="1:18" ht="18.75" x14ac:dyDescent="0.3">
      <c r="A21" s="48"/>
      <c r="B21" s="48"/>
      <c r="C21" s="130" t="str">
        <v>SHIB</v>
      </c>
      <c r="D21" s="114">
        <v>300057015</v>
      </c>
      <c r="E21" s="115">
        <f ca="1"/>
        <v>0</v>
      </c>
      <c r="F21" s="116">
        <f ca="1"/>
        <v>0</v>
      </c>
      <c r="G21" s="117">
        <f ca="1"/>
        <v>0</v>
      </c>
      <c r="H21" s="118">
        <f ca="1"/>
        <v>0</v>
      </c>
      <c r="I21" s="119">
        <v>1.95E-5</v>
      </c>
      <c r="J21" s="120">
        <v>5851.1117924999999</v>
      </c>
      <c r="K21" s="121">
        <v>5.1777419753071249E-2</v>
      </c>
      <c r="L21" s="119" t="s">
        <v>112</v>
      </c>
      <c r="M21" s="119" t="s">
        <v>112</v>
      </c>
      <c r="N21" s="119" t="s">
        <v>112</v>
      </c>
      <c r="O21" s="119">
        <f ca="1"/>
        <v>5851.1117924999999</v>
      </c>
      <c r="P21" s="120">
        <f ca="1"/>
        <v>0</v>
      </c>
      <c r="Q21" s="119">
        <f ca="1"/>
        <v>1608.5585623100005</v>
      </c>
      <c r="R21" s="48"/>
    </row>
    <row r="22" spans="1:18" ht="18.75" x14ac:dyDescent="0.3">
      <c r="A22" s="48"/>
      <c r="B22" s="48"/>
      <c r="C22" s="130" t="str">
        <v>STX</v>
      </c>
      <c r="D22" s="114">
        <v>2.8200000000001779E-2</v>
      </c>
      <c r="E22" s="115">
        <f ca="1"/>
        <v>0</v>
      </c>
      <c r="F22" s="116">
        <f ca="1"/>
        <v>0</v>
      </c>
      <c r="G22" s="117">
        <f ca="1"/>
        <v>0</v>
      </c>
      <c r="H22" s="118">
        <f ca="1"/>
        <v>0</v>
      </c>
      <c r="I22" s="119">
        <v>1.07</v>
      </c>
      <c r="J22" s="120">
        <v>3.0174000000001904E-2</v>
      </c>
      <c r="K22" s="121">
        <v>2.6701452972268954E-7</v>
      </c>
      <c r="L22" s="119" t="s">
        <v>112</v>
      </c>
      <c r="M22" s="119" t="s">
        <v>112</v>
      </c>
      <c r="N22" s="119" t="s">
        <v>112</v>
      </c>
      <c r="O22" s="119">
        <f ca="1"/>
        <v>3.0174000000001904E-2</v>
      </c>
      <c r="P22" s="120">
        <f ca="1"/>
        <v>0</v>
      </c>
      <c r="Q22" s="119">
        <f ca="1"/>
        <v>0.46868629999999606</v>
      </c>
      <c r="R22" s="48"/>
    </row>
    <row r="23" spans="1:18" ht="18.75" x14ac:dyDescent="0.3">
      <c r="A23" s="48"/>
      <c r="B23" s="48"/>
      <c r="C23" s="130" t="str">
        <v>SYA</v>
      </c>
      <c r="D23" s="114">
        <v>26315</v>
      </c>
      <c r="E23" s="115">
        <f ca="1"/>
        <v>26315</v>
      </c>
      <c r="F23" s="122">
        <f ca="1"/>
        <v>3.7999999999999999E-2</v>
      </c>
      <c r="G23" s="123">
        <f ca="1"/>
        <v>999.97</v>
      </c>
      <c r="H23" s="124">
        <f ca="1"/>
        <v>2.9260930411967052E-2</v>
      </c>
      <c r="I23" s="125">
        <v>0.21</v>
      </c>
      <c r="J23" s="125">
        <v>5526.15</v>
      </c>
      <c r="K23" s="126">
        <v>4.8901781117085825E-2</v>
      </c>
      <c r="L23" s="119" t="s">
        <v>112</v>
      </c>
      <c r="M23" s="119" t="s">
        <v>112</v>
      </c>
      <c r="N23" s="119" t="s">
        <v>112</v>
      </c>
      <c r="O23" s="125">
        <f ca="1"/>
        <v>4526.1799999999994</v>
      </c>
      <c r="P23" s="127">
        <f ca="1"/>
        <v>4.5263157894736841</v>
      </c>
      <c r="Q23" s="125">
        <f ca="1"/>
        <v>0</v>
      </c>
      <c r="R23" s="48"/>
    </row>
    <row r="24" spans="1:18" ht="18.75" x14ac:dyDescent="0.3">
      <c r="A24" s="48"/>
      <c r="B24" s="48"/>
      <c r="C24" s="130" t="str">
        <v>XRP</v>
      </c>
      <c r="D24" s="114">
        <v>1893.1621000000014</v>
      </c>
      <c r="E24" s="115">
        <f ca="1"/>
        <v>0</v>
      </c>
      <c r="F24" s="122">
        <f ca="1"/>
        <v>0</v>
      </c>
      <c r="G24" s="123">
        <f ca="1"/>
        <v>0</v>
      </c>
      <c r="H24" s="124">
        <f ca="1"/>
        <v>0</v>
      </c>
      <c r="I24" s="125">
        <v>0.56999999999999995</v>
      </c>
      <c r="J24" s="125">
        <v>1079.1023970000008</v>
      </c>
      <c r="K24" s="126">
        <v>9.5491489049368359E-3</v>
      </c>
      <c r="L24" s="119" t="s">
        <v>112</v>
      </c>
      <c r="M24" s="119" t="s">
        <v>112</v>
      </c>
      <c r="N24" s="119" t="s">
        <v>112</v>
      </c>
      <c r="O24" s="125">
        <f ca="1"/>
        <v>1079.1023970000008</v>
      </c>
      <c r="P24" s="127">
        <f ca="1"/>
        <v>0</v>
      </c>
      <c r="Q24" s="125">
        <f ca="1"/>
        <v>-3358.5136614684338</v>
      </c>
      <c r="R24" s="48"/>
    </row>
    <row r="25" spans="1:18" s="135" customFormat="1" ht="23.25" x14ac:dyDescent="0.35">
      <c r="A25" s="133"/>
      <c r="B25" s="133"/>
      <c r="C25" s="134" t="s">
        <v>129</v>
      </c>
      <c r="D25" s="134">
        <f>SUM(_xlfn.ANCHORARRAY(D9))</f>
        <v>301023552.21284389</v>
      </c>
      <c r="E25" s="134">
        <f t="shared" ref="E25:J25" ca="1" si="0">SUM(_xlfn.ANCHORARRAY(E9))</f>
        <v>1993779</v>
      </c>
      <c r="F25" s="134"/>
      <c r="G25" s="134">
        <f t="shared" ca="1" si="0"/>
        <v>34174.237999999998</v>
      </c>
      <c r="H25" s="134"/>
      <c r="I25" s="134">
        <f t="shared" si="0"/>
        <v>522.78101950000007</v>
      </c>
      <c r="J25" s="134">
        <f t="shared" si="0"/>
        <v>113005.08639488419</v>
      </c>
      <c r="K25" s="134"/>
      <c r="L25" s="134"/>
      <c r="M25" s="134"/>
      <c r="N25" s="134"/>
      <c r="O25" s="134">
        <f t="shared" ref="O25" ca="1" si="1">SUM(_xlfn.ANCHORARRAY(O9))</f>
        <v>78830.848394884219</v>
      </c>
      <c r="P25" s="134"/>
      <c r="Q25" s="134">
        <f t="shared" ref="Q25" ca="1" si="2">SUM(_xlfn.ANCHORARRAY(Q9))</f>
        <v>-80105.82398835152</v>
      </c>
      <c r="R25" s="133"/>
    </row>
    <row r="26" spans="1:18" x14ac:dyDescent="0.25">
      <c r="A26" s="48"/>
      <c r="B26" s="48"/>
      <c r="C26" s="48"/>
      <c r="D26" s="48"/>
      <c r="E26" s="48"/>
      <c r="F26" s="48"/>
      <c r="G26" s="48"/>
      <c r="H26" s="48"/>
      <c r="I26" s="48"/>
      <c r="J26" s="48"/>
      <c r="K26" s="48"/>
      <c r="L26" s="48"/>
      <c r="M26" s="48"/>
      <c r="N26" s="48"/>
      <c r="O26" s="48"/>
      <c r="P26" s="48"/>
      <c r="Q26" s="48"/>
      <c r="R26" s="48"/>
    </row>
  </sheetData>
  <mergeCells count="13">
    <mergeCell ref="N1:Q3"/>
    <mergeCell ref="C7:C8"/>
    <mergeCell ref="D7:E7"/>
    <mergeCell ref="F7:H7"/>
    <mergeCell ref="I7:N7"/>
    <mergeCell ref="O7:P7"/>
    <mergeCell ref="B4:F5"/>
    <mergeCell ref="G4:H4"/>
    <mergeCell ref="J4:K4"/>
    <mergeCell ref="G5:H5"/>
    <mergeCell ref="J5:K5"/>
    <mergeCell ref="B1:F3"/>
    <mergeCell ref="I1:L3"/>
  </mergeCells>
  <conditionalFormatting sqref="G1:H3">
    <cfRule type="expression" dxfId="86" priority="58">
      <formula>G1&lt;0</formula>
    </cfRule>
  </conditionalFormatting>
  <conditionalFormatting sqref="B1">
    <cfRule type="expression" dxfId="85" priority="57">
      <formula>B1&lt;0</formula>
    </cfRule>
  </conditionalFormatting>
  <conditionalFormatting sqref="M1:M3">
    <cfRule type="expression" dxfId="84" priority="56">
      <formula>M1&lt;0</formula>
    </cfRule>
  </conditionalFormatting>
  <conditionalFormatting sqref="H9:H24">
    <cfRule type="iconSet" priority="54">
      <iconSet iconSet="5Quarters">
        <cfvo type="percent" val="0"/>
        <cfvo type="percent" val="20"/>
        <cfvo type="percent" val="40"/>
        <cfvo type="percent" val="60"/>
        <cfvo type="percent" val="80"/>
      </iconSet>
    </cfRule>
  </conditionalFormatting>
  <conditionalFormatting sqref="K9:K24">
    <cfRule type="iconSet" priority="55">
      <iconSet iconSet="5Quarters">
        <cfvo type="percent" val="0"/>
        <cfvo type="percent" val="20"/>
        <cfvo type="percent" val="40"/>
        <cfvo type="percent" val="60"/>
        <cfvo type="percent" val="80"/>
      </iconSet>
    </cfRule>
  </conditionalFormatting>
  <conditionalFormatting sqref="Q6:Q24 H6:H24">
    <cfRule type="expression" dxfId="83" priority="45">
      <formula>H6&lt;0</formula>
    </cfRule>
  </conditionalFormatting>
  <conditionalFormatting sqref="P6:P24">
    <cfRule type="expression" dxfId="82" priority="46">
      <formula>P6&lt;0</formula>
    </cfRule>
  </conditionalFormatting>
  <conditionalFormatting sqref="O6:O24">
    <cfRule type="expression" dxfId="81" priority="47">
      <formula>O6&lt;0</formula>
    </cfRule>
  </conditionalFormatting>
  <conditionalFormatting sqref="N6:N24">
    <cfRule type="expression" dxfId="80" priority="48">
      <formula>N6&lt;0</formula>
    </cfRule>
  </conditionalFormatting>
  <conditionalFormatting sqref="M6:M24">
    <cfRule type="expression" dxfId="79" priority="49">
      <formula>M6&lt;0</formula>
    </cfRule>
  </conditionalFormatting>
  <conditionalFormatting sqref="L6:L24">
    <cfRule type="expression" dxfId="78" priority="50">
      <formula>L6&lt;0</formula>
    </cfRule>
  </conditionalFormatting>
  <conditionalFormatting sqref="K6:K24">
    <cfRule type="expression" dxfId="77" priority="51">
      <formula>K6&lt;0</formula>
    </cfRule>
  </conditionalFormatting>
  <conditionalFormatting sqref="J6:J24">
    <cfRule type="expression" dxfId="76" priority="52">
      <formula>J6&lt;0</formula>
    </cfRule>
  </conditionalFormatting>
  <conditionalFormatting sqref="I6:I24">
    <cfRule type="expression" dxfId="75" priority="53">
      <formula>I6&lt;0</formula>
    </cfRule>
  </conditionalFormatting>
  <conditionalFormatting sqref="G6:G24">
    <cfRule type="expression" dxfId="74" priority="44">
      <formula>G6&lt;0</formula>
    </cfRule>
  </conditionalFormatting>
  <conditionalFormatting sqref="D25:E25">
    <cfRule type="expression" dxfId="73" priority="43">
      <formula>D25&lt;0</formula>
    </cfRule>
  </conditionalFormatting>
  <conditionalFormatting sqref="D25:E25">
    <cfRule type="expression" dxfId="72" priority="41">
      <formula>D25&gt;0</formula>
    </cfRule>
    <cfRule type="expression" dxfId="71" priority="42">
      <formula>D25&lt;0</formula>
    </cfRule>
  </conditionalFormatting>
  <conditionalFormatting sqref="F25:G25">
    <cfRule type="expression" dxfId="70" priority="40">
      <formula>F25&lt;0</formula>
    </cfRule>
  </conditionalFormatting>
  <conditionalFormatting sqref="F25:G25">
    <cfRule type="expression" dxfId="69" priority="38">
      <formula>F25&gt;0</formula>
    </cfRule>
    <cfRule type="expression" dxfId="68" priority="39">
      <formula>F25&lt;0</formula>
    </cfRule>
  </conditionalFormatting>
  <conditionalFormatting sqref="I25:J25">
    <cfRule type="expression" dxfId="67" priority="37">
      <formula>I25&lt;0</formula>
    </cfRule>
  </conditionalFormatting>
  <conditionalFormatting sqref="I25:J25">
    <cfRule type="expression" dxfId="66" priority="35">
      <formula>I25&gt;0</formula>
    </cfRule>
    <cfRule type="expression" dxfId="65" priority="36">
      <formula>I25&lt;0</formula>
    </cfRule>
  </conditionalFormatting>
  <conditionalFormatting sqref="K25:P25">
    <cfRule type="expression" dxfId="64" priority="34">
      <formula>K25&lt;0</formula>
    </cfRule>
  </conditionalFormatting>
  <conditionalFormatting sqref="K25:P25">
    <cfRule type="expression" dxfId="63" priority="32">
      <formula>K25&gt;0</formula>
    </cfRule>
    <cfRule type="expression" dxfId="62" priority="33">
      <formula>K25&lt;0</formula>
    </cfRule>
  </conditionalFormatting>
  <conditionalFormatting sqref="Q25">
    <cfRule type="expression" dxfId="61" priority="31">
      <formula>Q25&lt;0</formula>
    </cfRule>
  </conditionalFormatting>
  <conditionalFormatting sqref="Q25">
    <cfRule type="expression" dxfId="60" priority="29">
      <formula>Q25&gt;0</formula>
    </cfRule>
    <cfRule type="expression" dxfId="59" priority="30">
      <formula>Q25&lt;0</formula>
    </cfRule>
  </conditionalFormatting>
  <conditionalFormatting sqref="H25">
    <cfRule type="expression" dxfId="58" priority="28">
      <formula>H25&lt;0</formula>
    </cfRule>
  </conditionalFormatting>
  <conditionalFormatting sqref="H25">
    <cfRule type="expression" dxfId="57" priority="26">
      <formula>H25&gt;0</formula>
    </cfRule>
    <cfRule type="expression" dxfId="56" priority="27">
      <formula>H25&lt;0</formula>
    </cfRule>
  </conditionalFormatting>
  <conditionalFormatting sqref="C25">
    <cfRule type="expression" dxfId="55" priority="25">
      <formula>C25&lt;0</formula>
    </cfRule>
  </conditionalFormatting>
  <conditionalFormatting sqref="C25">
    <cfRule type="expression" dxfId="54" priority="23">
      <formula>C25&gt;0</formula>
    </cfRule>
    <cfRule type="expression" dxfId="53" priority="24">
      <formula>C25&lt;0</formula>
    </cfRule>
  </conditionalFormatting>
  <conditionalFormatting sqref="Q4:Q5 J5 G5">
    <cfRule type="expression" dxfId="52" priority="14">
      <formula>G4&lt;0</formula>
    </cfRule>
  </conditionalFormatting>
  <conditionalFormatting sqref="P4:P5">
    <cfRule type="expression" dxfId="51" priority="15">
      <formula>P4&lt;0</formula>
    </cfRule>
  </conditionalFormatting>
  <conditionalFormatting sqref="O4">
    <cfRule type="expression" dxfId="50" priority="16">
      <formula>O4&lt;0</formula>
    </cfRule>
  </conditionalFormatting>
  <conditionalFormatting sqref="N4:N5">
    <cfRule type="expression" dxfId="49" priority="17">
      <formula>N4&lt;0</formula>
    </cfRule>
  </conditionalFormatting>
  <conditionalFormatting sqref="M4">
    <cfRule type="expression" dxfId="48" priority="18">
      <formula>M4&lt;0</formula>
    </cfRule>
  </conditionalFormatting>
  <conditionalFormatting sqref="L4">
    <cfRule type="expression" dxfId="47" priority="19">
      <formula>L4&lt;0</formula>
    </cfRule>
  </conditionalFormatting>
  <conditionalFormatting sqref="K4">
    <cfRule type="expression" dxfId="46" priority="20">
      <formula>K4&lt;0</formula>
    </cfRule>
  </conditionalFormatting>
  <conditionalFormatting sqref="J4">
    <cfRule type="expression" dxfId="45" priority="21">
      <formula>J4&lt;0</formula>
    </cfRule>
  </conditionalFormatting>
  <conditionalFormatting sqref="G4">
    <cfRule type="expression" dxfId="44" priority="22">
      <formula>G4&lt;0</formula>
    </cfRule>
  </conditionalFormatting>
  <conditionalFormatting sqref="Q5 J5 G5">
    <cfRule type="expression" dxfId="43" priority="12">
      <formula>G5&gt;0</formula>
    </cfRule>
    <cfRule type="expression" dxfId="42" priority="13">
      <formula>G5&lt;0</formula>
    </cfRule>
  </conditionalFormatting>
  <conditionalFormatting sqref="O5">
    <cfRule type="expression" dxfId="41" priority="10">
      <formula>O5&gt;0</formula>
    </cfRule>
    <cfRule type="expression" dxfId="40" priority="11">
      <formula>O5&lt;0</formula>
    </cfRule>
  </conditionalFormatting>
  <conditionalFormatting sqref="M5">
    <cfRule type="expression" dxfId="39" priority="9">
      <formula>M5&lt;0</formula>
    </cfRule>
  </conditionalFormatting>
  <conditionalFormatting sqref="M5">
    <cfRule type="expression" dxfId="38" priority="7">
      <formula>M5&gt;0</formula>
    </cfRule>
    <cfRule type="expression" dxfId="37" priority="8">
      <formula>M5&lt;0</formula>
    </cfRule>
  </conditionalFormatting>
  <conditionalFormatting sqref="L5">
    <cfRule type="expression" dxfId="36" priority="6">
      <formula>L5&lt;0</formula>
    </cfRule>
  </conditionalFormatting>
  <conditionalFormatting sqref="L5">
    <cfRule type="expression" dxfId="35" priority="4">
      <formula>L5&gt;0</formula>
    </cfRule>
    <cfRule type="expression" dxfId="34" priority="5">
      <formula>L5&lt;0</formula>
    </cfRule>
  </conditionalFormatting>
  <conditionalFormatting sqref="G4 I4:I5">
    <cfRule type="expression" dxfId="33" priority="3">
      <formula>G4&lt;0</formula>
    </cfRule>
  </conditionalFormatting>
  <conditionalFormatting sqref="G5">
    <cfRule type="expression" dxfId="32" priority="2">
      <formula>G5&lt;0</formula>
    </cfRule>
  </conditionalFormatting>
  <conditionalFormatting sqref="B4">
    <cfRule type="expression" dxfId="31" priority="1">
      <formula>B4&lt;0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20" r:id="rId3" name="Button 4">
              <controlPr defaultSize="0" print="0" autoFill="0" autoPict="0" macro="[0]!personal_stock_portfolio">
                <anchor moveWithCells="1" sizeWithCells="1">
                  <from>
                    <xdr:col>1</xdr:col>
                    <xdr:colOff>19050</xdr:colOff>
                    <xdr:row>0</xdr:row>
                    <xdr:rowOff>9525</xdr:rowOff>
                  </from>
                  <to>
                    <xdr:col>6</xdr:col>
                    <xdr:colOff>209550</xdr:colOff>
                    <xdr:row>3</xdr:row>
                    <xdr:rowOff>0</xdr:rowOff>
                  </to>
                </anchor>
              </controlPr>
            </control>
          </mc:Choice>
        </mc:AlternateContent>
        <mc:AlternateContent xmlns:mc="http://schemas.openxmlformats.org/markup-compatibility/2006">
          <mc:Choice Requires="x14">
            <control shapeId="9221" r:id="rId4" name="Button 5">
              <controlPr defaultSize="0" print="0" autoFill="0" autoPict="0" macro="[0]!dash_date_button">
                <anchor moveWithCells="1" sizeWithCells="1">
                  <from>
                    <xdr:col>7</xdr:col>
                    <xdr:colOff>19050</xdr:colOff>
                    <xdr:row>0</xdr:row>
                    <xdr:rowOff>0</xdr:rowOff>
                  </from>
                  <to>
                    <xdr:col>11</xdr:col>
                    <xdr:colOff>1028700</xdr:colOff>
                    <xdr:row>3</xdr:row>
                    <xdr:rowOff>0</xdr:rowOff>
                  </to>
                </anchor>
              </controlPr>
            </control>
          </mc:Choice>
        </mc:AlternateContent>
        <mc:AlternateContent xmlns:mc="http://schemas.openxmlformats.org/markup-compatibility/2006">
          <mc:Choice Requires="x14">
            <control shapeId="9224" r:id="rId5" name="Button 8">
              <controlPr defaultSize="0" print="0" autoFill="0" autoPict="0" macro="[0]!Dash_Current_Holdings">
                <anchor moveWithCells="1" sizeWithCells="1">
                  <from>
                    <xdr:col>12</xdr:col>
                    <xdr:colOff>1285875</xdr:colOff>
                    <xdr:row>0</xdr:row>
                    <xdr:rowOff>0</xdr:rowOff>
                  </from>
                  <to>
                    <xdr:col>16</xdr:col>
                    <xdr:colOff>1400175</xdr:colOff>
                    <xdr:row>3</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B1245-22DC-4348-A423-2B1BCAC1670C}">
  <sheetPr codeName="Sheet3"/>
  <dimension ref="A1:S44"/>
  <sheetViews>
    <sheetView showGridLines="0" showRowColHeaders="0" tabSelected="1" zoomScaleNormal="100" workbookViewId="0">
      <selection activeCell="R9" sqref="R9"/>
    </sheetView>
  </sheetViews>
  <sheetFormatPr defaultRowHeight="15" x14ac:dyDescent="0.25"/>
  <cols>
    <col min="1" max="1" width="3.7109375" customWidth="1"/>
    <col min="2" max="2" width="6.28515625" customWidth="1"/>
    <col min="3" max="3" width="7.85546875" bestFit="1" customWidth="1"/>
    <col min="4" max="4" width="14.28515625" style="40" bestFit="1" customWidth="1"/>
    <col min="5" max="5" width="22.85546875" customWidth="1"/>
    <col min="6" max="6" width="25" bestFit="1" customWidth="1"/>
    <col min="7" max="7" width="11.140625" customWidth="1"/>
    <col min="8" max="8" width="22" bestFit="1" customWidth="1"/>
    <col min="9" max="9" width="16" customWidth="1"/>
    <col min="10" max="10" width="26.7109375" bestFit="1" customWidth="1"/>
    <col min="11" max="11" width="13.5703125" customWidth="1"/>
    <col min="12" max="12" width="18" customWidth="1"/>
    <col min="13" max="13" width="14.7109375" customWidth="1"/>
    <col min="14" max="14" width="22.85546875" customWidth="1"/>
    <col min="15" max="15" width="3.7109375" customWidth="1"/>
    <col min="16" max="16" width="18.42578125" customWidth="1"/>
    <col min="17" max="17" width="12.42578125" customWidth="1"/>
    <col min="18" max="18" width="19.5703125" customWidth="1"/>
    <col min="19" max="19" width="2.85546875" customWidth="1"/>
  </cols>
  <sheetData>
    <row r="1" spans="1:19" ht="15" customHeight="1" x14ac:dyDescent="0.25">
      <c r="A1" s="48"/>
      <c r="B1" s="188"/>
      <c r="C1" s="188"/>
      <c r="D1" s="188"/>
      <c r="E1" s="188"/>
      <c r="F1" s="188"/>
      <c r="G1" s="97"/>
      <c r="H1" s="97"/>
      <c r="I1" s="188"/>
      <c r="J1" s="188"/>
      <c r="K1" s="188"/>
      <c r="L1" s="188"/>
      <c r="M1" s="97"/>
      <c r="N1" s="172"/>
      <c r="O1" s="172"/>
      <c r="P1" s="172"/>
      <c r="Q1" s="172"/>
      <c r="R1" s="172"/>
      <c r="S1" s="48"/>
    </row>
    <row r="2" spans="1:19" s="131" customFormat="1" ht="21.75" customHeight="1" x14ac:dyDescent="0.25">
      <c r="A2" s="48"/>
      <c r="B2" s="188"/>
      <c r="C2" s="188"/>
      <c r="D2" s="188"/>
      <c r="E2" s="188"/>
      <c r="F2" s="188"/>
      <c r="G2" s="97"/>
      <c r="H2" s="97"/>
      <c r="I2" s="188"/>
      <c r="J2" s="188"/>
      <c r="K2" s="188"/>
      <c r="L2" s="188"/>
      <c r="M2" s="97"/>
      <c r="N2" s="172"/>
      <c r="O2" s="172"/>
      <c r="P2" s="172"/>
      <c r="Q2" s="172"/>
      <c r="R2" s="172"/>
      <c r="S2" s="48"/>
    </row>
    <row r="3" spans="1:19" s="131" customFormat="1" ht="24" customHeight="1" x14ac:dyDescent="0.25">
      <c r="A3" s="48"/>
      <c r="B3" s="188"/>
      <c r="C3" s="188"/>
      <c r="D3" s="188"/>
      <c r="E3" s="188"/>
      <c r="F3" s="188"/>
      <c r="G3" s="97"/>
      <c r="H3" s="97"/>
      <c r="I3" s="188"/>
      <c r="J3" s="188"/>
      <c r="K3" s="188"/>
      <c r="L3" s="188"/>
      <c r="M3" s="97"/>
      <c r="N3" s="172"/>
      <c r="O3" s="172"/>
      <c r="P3" s="172"/>
      <c r="Q3" s="172"/>
      <c r="R3" s="172"/>
      <c r="S3" s="48"/>
    </row>
    <row r="4" spans="1:19" ht="30" customHeight="1" x14ac:dyDescent="0.25">
      <c r="A4" s="48"/>
      <c r="B4" s="201" t="s">
        <v>121</v>
      </c>
      <c r="C4" s="201"/>
      <c r="D4" s="201"/>
      <c r="E4" s="201"/>
      <c r="F4" s="166" t="s">
        <v>116</v>
      </c>
      <c r="G4" s="46"/>
      <c r="H4" s="166" t="s">
        <v>97</v>
      </c>
      <c r="I4" s="46"/>
      <c r="J4" s="46" t="s">
        <v>114</v>
      </c>
      <c r="K4" s="46"/>
      <c r="L4" s="46" t="s">
        <v>98</v>
      </c>
      <c r="M4" s="46"/>
      <c r="N4" s="46" t="s">
        <v>98</v>
      </c>
      <c r="O4" s="46"/>
      <c r="P4" s="52" t="s">
        <v>99</v>
      </c>
      <c r="Q4" s="47"/>
      <c r="R4" s="46" t="s">
        <v>100</v>
      </c>
      <c r="S4" s="48"/>
    </row>
    <row r="5" spans="1:19" ht="29.25" customHeight="1" thickBot="1" x14ac:dyDescent="0.4">
      <c r="A5" s="48"/>
      <c r="B5" s="202"/>
      <c r="C5" s="202"/>
      <c r="D5" s="202"/>
      <c r="E5" s="202"/>
      <c r="F5" s="141">
        <f ca="1">SUM('Current Holdings'!$G$25)</f>
        <v>34174.237999999998</v>
      </c>
      <c r="G5" s="46"/>
      <c r="H5" s="141">
        <f>Calculations!H37</f>
        <v>123201.09397253738</v>
      </c>
      <c r="I5" s="46"/>
      <c r="J5" s="51">
        <f ca="1">Calculations!H38</f>
        <v>199228.62246926239</v>
      </c>
      <c r="K5" s="46"/>
      <c r="L5" s="51">
        <f ca="1">SUM('Current Holdings'!$O$25)</f>
        <v>78830.848394884219</v>
      </c>
      <c r="M5" s="46"/>
      <c r="N5" s="51">
        <f ca="1">SUM(Q10:Q24)</f>
        <v>-87717.164488795621</v>
      </c>
      <c r="O5" s="49"/>
      <c r="P5" s="51">
        <f>SUM(_xlfn.ANCHORARRAY('Current Holdings'!J9))</f>
        <v>113005.08639488419</v>
      </c>
      <c r="Q5" s="50"/>
      <c r="R5" s="51">
        <f ca="1">SUM(Profit_Loss)</f>
        <v>-69019.877314843092</v>
      </c>
      <c r="S5" s="48"/>
    </row>
    <row r="6" spans="1:19" ht="5.25" customHeight="1" thickTop="1" x14ac:dyDescent="0.25">
      <c r="M6" s="142"/>
    </row>
    <row r="7" spans="1:19" ht="31.5" x14ac:dyDescent="0.5">
      <c r="A7" s="48"/>
      <c r="B7" s="53"/>
      <c r="C7" s="53"/>
      <c r="D7" s="59"/>
      <c r="E7" s="53"/>
      <c r="F7" s="53"/>
      <c r="G7" s="48"/>
      <c r="H7" s="48"/>
      <c r="I7" s="48"/>
      <c r="J7" s="48"/>
      <c r="K7" s="48"/>
      <c r="L7" s="48"/>
      <c r="M7" s="48"/>
      <c r="N7" s="48"/>
      <c r="O7" s="48"/>
      <c r="P7" s="207" t="s">
        <v>137</v>
      </c>
      <c r="Q7" s="208"/>
      <c r="R7" s="209"/>
      <c r="S7" s="48"/>
    </row>
    <row r="8" spans="1:19" ht="21" customHeight="1" x14ac:dyDescent="0.5">
      <c r="A8" s="48"/>
      <c r="B8" s="53"/>
      <c r="C8" s="203"/>
      <c r="D8" s="203"/>
      <c r="E8" s="53"/>
      <c r="F8" s="53"/>
      <c r="G8" s="48"/>
      <c r="H8" s="48"/>
      <c r="I8" s="48"/>
      <c r="J8" s="48"/>
      <c r="K8" s="48"/>
      <c r="L8" s="48"/>
      <c r="M8" s="48"/>
      <c r="N8" s="48"/>
      <c r="O8" s="48"/>
      <c r="P8" s="210"/>
      <c r="Q8" s="211"/>
      <c r="R8" s="212"/>
      <c r="S8" s="48"/>
    </row>
    <row r="9" spans="1:19" ht="15.75" x14ac:dyDescent="0.25">
      <c r="A9" s="48"/>
      <c r="B9" s="77"/>
      <c r="C9" s="77"/>
      <c r="D9" s="77"/>
      <c r="E9" s="78"/>
      <c r="F9" s="78"/>
      <c r="G9" s="78"/>
      <c r="H9" s="48"/>
      <c r="I9" s="48"/>
      <c r="J9" s="48"/>
      <c r="K9" s="48"/>
      <c r="L9" s="48"/>
      <c r="M9" s="48"/>
      <c r="N9" s="48"/>
      <c r="O9" s="48"/>
      <c r="P9" s="153" t="s">
        <v>26</v>
      </c>
      <c r="Q9" s="154" t="s">
        <v>138</v>
      </c>
      <c r="R9" s="154" t="s">
        <v>173</v>
      </c>
      <c r="S9" s="48"/>
    </row>
    <row r="10" spans="1:19" ht="18.75" x14ac:dyDescent="0.3">
      <c r="A10" s="79"/>
      <c r="B10" s="79"/>
      <c r="C10" s="79"/>
      <c r="D10" s="79"/>
      <c r="E10" s="80"/>
      <c r="F10" s="80"/>
      <c r="G10" s="80"/>
      <c r="H10" s="48"/>
      <c r="I10" s="48"/>
      <c r="J10" s="57"/>
      <c r="K10" s="48"/>
      <c r="L10" s="48"/>
      <c r="M10" s="48"/>
      <c r="N10" s="48"/>
      <c r="O10" s="48"/>
      <c r="P10" s="169" t="str" cm="1">
        <f t="array" aca="1" ref="P10:P22" ca="1">Calculations!BY3:BY15</f>
        <v>ADA</v>
      </c>
      <c r="Q10" s="171" cm="1">
        <f t="array" aca="1" ref="Q10:Q22" ca="1">Calculations!BZ3:BZ15</f>
        <v>-7898.0725859999993</v>
      </c>
      <c r="R10" s="170" cm="1">
        <f t="array" aca="1" ref="R10:R22" ca="1">Calculations!CA3:CA15</f>
        <v>2.0844545454545451</v>
      </c>
      <c r="S10" s="48"/>
    </row>
    <row r="11" spans="1:19" ht="18.75" x14ac:dyDescent="0.3">
      <c r="A11" s="48"/>
      <c r="B11" s="48"/>
      <c r="C11" s="76"/>
      <c r="D11" s="79"/>
      <c r="E11" s="80"/>
      <c r="F11" s="80"/>
      <c r="G11" s="80"/>
      <c r="H11" s="48"/>
      <c r="I11" s="48"/>
      <c r="J11" s="48"/>
      <c r="K11" s="48"/>
      <c r="L11" s="48"/>
      <c r="M11" s="48"/>
      <c r="N11" s="48"/>
      <c r="O11" s="48"/>
      <c r="P11" s="169" t="str">
        <f ca="1"/>
        <v>ANW</v>
      </c>
      <c r="Q11" s="171">
        <f ca="1"/>
        <v>-89.8</v>
      </c>
      <c r="R11" s="170">
        <f ca="1"/>
        <v>1E-3</v>
      </c>
      <c r="S11" s="48"/>
    </row>
    <row r="12" spans="1:19" ht="18.75" x14ac:dyDescent="0.3">
      <c r="A12" s="48"/>
      <c r="B12" s="48"/>
      <c r="C12" s="76"/>
      <c r="D12" s="79"/>
      <c r="E12" s="80"/>
      <c r="F12" s="80"/>
      <c r="G12" s="80"/>
      <c r="H12" s="48"/>
      <c r="I12" s="48"/>
      <c r="J12" s="48"/>
      <c r="K12" s="48"/>
      <c r="L12" s="48"/>
      <c r="M12" s="48"/>
      <c r="N12" s="48"/>
      <c r="O12" s="48"/>
      <c r="P12" s="169" t="str">
        <f ca="1"/>
        <v>AXS</v>
      </c>
      <c r="Q12" s="171">
        <f ca="1"/>
        <v>-59756.884652169836</v>
      </c>
      <c r="R12" s="170">
        <f ca="1"/>
        <v>127.51106410108696</v>
      </c>
      <c r="S12" s="48"/>
    </row>
    <row r="13" spans="1:19" ht="18.75" x14ac:dyDescent="0.3">
      <c r="A13" s="48"/>
      <c r="B13" s="60"/>
      <c r="C13" s="76"/>
      <c r="D13" s="79"/>
      <c r="E13" s="80"/>
      <c r="F13" s="80"/>
      <c r="G13" s="80"/>
      <c r="H13" s="48"/>
      <c r="I13" s="48"/>
      <c r="J13" s="48"/>
      <c r="K13" s="48"/>
      <c r="L13" s="48"/>
      <c r="M13" s="48"/>
      <c r="N13" s="48"/>
      <c r="O13" s="48"/>
      <c r="P13" s="169" t="str">
        <f ca="1"/>
        <v>BNB</v>
      </c>
      <c r="Q13" s="171">
        <f ca="1"/>
        <v>-7598.0790121734844</v>
      </c>
      <c r="R13" s="170">
        <f ca="1"/>
        <v>638.13266072510316</v>
      </c>
      <c r="S13" s="48"/>
    </row>
    <row r="14" spans="1:19" ht="18.75" x14ac:dyDescent="0.3">
      <c r="A14" s="48"/>
      <c r="B14" s="48"/>
      <c r="C14" s="76"/>
      <c r="D14" s="79"/>
      <c r="E14" s="80"/>
      <c r="F14" s="80"/>
      <c r="G14" s="80"/>
      <c r="H14" s="48"/>
      <c r="I14" s="48"/>
      <c r="J14" s="48"/>
      <c r="K14" s="48"/>
      <c r="L14" s="48"/>
      <c r="M14" s="48"/>
      <c r="N14" s="48"/>
      <c r="O14" s="48"/>
      <c r="P14" s="169" t="str">
        <f ca="1"/>
        <v>BUB</v>
      </c>
      <c r="Q14" s="171">
        <f ca="1"/>
        <v>-3118.4308270086422</v>
      </c>
      <c r="R14" s="170">
        <f ca="1"/>
        <v>0.65718750000000004</v>
      </c>
      <c r="S14" s="48"/>
    </row>
    <row r="15" spans="1:19" ht="18.75" x14ac:dyDescent="0.3">
      <c r="A15" s="48"/>
      <c r="B15" s="48"/>
      <c r="C15" s="76"/>
      <c r="D15" s="79"/>
      <c r="E15" s="80"/>
      <c r="F15" s="80"/>
      <c r="G15" s="80"/>
      <c r="H15" s="48"/>
      <c r="I15" s="48"/>
      <c r="J15" s="48"/>
      <c r="K15" s="48"/>
      <c r="L15" s="48"/>
      <c r="M15" s="48"/>
      <c r="N15" s="48"/>
      <c r="O15" s="48"/>
      <c r="P15" s="169" t="str">
        <f ca="1"/>
        <v>CBA</v>
      </c>
      <c r="Q15" s="171">
        <f ca="1"/>
        <v>-60.699999999999953</v>
      </c>
      <c r="R15" s="170">
        <f ca="1"/>
        <v>75.400000000000006</v>
      </c>
      <c r="S15" s="48"/>
    </row>
    <row r="16" spans="1:19" ht="18.75" x14ac:dyDescent="0.3">
      <c r="A16" s="48"/>
      <c r="B16" s="48"/>
      <c r="C16" s="76"/>
      <c r="D16" s="79"/>
      <c r="E16" s="80"/>
      <c r="F16" s="80"/>
      <c r="G16" s="80"/>
      <c r="H16" s="48"/>
      <c r="I16" s="48"/>
      <c r="J16" s="48"/>
      <c r="K16" s="48"/>
      <c r="L16" s="48"/>
      <c r="M16" s="48"/>
      <c r="N16" s="48"/>
      <c r="O16" s="48"/>
      <c r="P16" s="169" t="str">
        <f ca="1"/>
        <v>DOGE</v>
      </c>
      <c r="Q16" s="171">
        <f ca="1"/>
        <v>-51.18604244241093</v>
      </c>
      <c r="R16" s="170">
        <f ca="1"/>
        <v>0.34408065799090909</v>
      </c>
      <c r="S16" s="48"/>
    </row>
    <row r="17" spans="1:19" ht="18.75" x14ac:dyDescent="0.3">
      <c r="A17" s="48"/>
      <c r="B17" s="48"/>
      <c r="C17" s="76"/>
      <c r="D17" s="79"/>
      <c r="E17" s="80"/>
      <c r="F17" s="80"/>
      <c r="G17" s="80"/>
      <c r="H17" s="48"/>
      <c r="I17" s="48"/>
      <c r="J17" s="48"/>
      <c r="K17" s="48"/>
      <c r="L17" s="48"/>
      <c r="M17" s="48"/>
      <c r="N17" s="48"/>
      <c r="O17" s="48"/>
      <c r="P17" s="169" t="str">
        <f ca="1"/>
        <v>FFF</v>
      </c>
      <c r="Q17" s="171">
        <f ca="1"/>
        <v>-2271.0249999999996</v>
      </c>
      <c r="R17" s="170">
        <f ca="1"/>
        <v>0.26666666666666666</v>
      </c>
      <c r="S17" s="48"/>
    </row>
    <row r="18" spans="1:19" ht="18.75" x14ac:dyDescent="0.3">
      <c r="A18" s="48"/>
      <c r="B18" s="48"/>
      <c r="C18" s="76"/>
      <c r="D18" s="79"/>
      <c r="E18" s="80"/>
      <c r="F18" s="80"/>
      <c r="G18" s="80"/>
      <c r="H18" s="48"/>
      <c r="I18" s="48"/>
      <c r="J18" s="48"/>
      <c r="K18" s="48"/>
      <c r="L18" s="48"/>
      <c r="M18" s="48"/>
      <c r="N18" s="48"/>
      <c r="O18" s="48"/>
      <c r="P18" s="169" t="str">
        <f ca="1"/>
        <v>MANA</v>
      </c>
      <c r="Q18" s="171">
        <f ca="1"/>
        <v>-1097.2427075328167</v>
      </c>
      <c r="R18" s="170">
        <f ca="1"/>
        <v>5.2651917275714286</v>
      </c>
      <c r="S18" s="48"/>
    </row>
    <row r="19" spans="1:19" ht="18.75" x14ac:dyDescent="0.3">
      <c r="A19" s="48"/>
      <c r="B19" s="48"/>
      <c r="C19" s="76"/>
      <c r="D19" s="79"/>
      <c r="E19" s="80"/>
      <c r="F19" s="80"/>
      <c r="G19" s="80"/>
      <c r="H19" s="48"/>
      <c r="I19" s="48"/>
      <c r="J19" s="48"/>
      <c r="K19" s="48"/>
      <c r="L19" s="48"/>
      <c r="M19" s="48"/>
      <c r="N19" s="48"/>
      <c r="O19" s="48"/>
      <c r="P19" s="169" t="str">
        <f ca="1"/>
        <v>SYI</v>
      </c>
      <c r="Q19" s="171">
        <f ca="1"/>
        <v>-4.7000000000000455</v>
      </c>
      <c r="R19" s="170">
        <f ca="1"/>
        <v>28.914999999999999</v>
      </c>
      <c r="S19" s="48"/>
    </row>
    <row r="20" spans="1:19" ht="18" customHeight="1" x14ac:dyDescent="0.3">
      <c r="A20" s="48"/>
      <c r="B20" s="48"/>
      <c r="C20" s="204"/>
      <c r="D20" s="204"/>
      <c r="E20" s="81"/>
      <c r="F20" s="81"/>
      <c r="G20" s="81"/>
      <c r="H20" s="48"/>
      <c r="I20" s="48"/>
      <c r="J20" s="48"/>
      <c r="K20" s="48"/>
      <c r="L20" s="48"/>
      <c r="M20" s="48"/>
      <c r="N20" s="48"/>
      <c r="O20" s="48"/>
      <c r="P20" s="169" t="str">
        <f ca="1"/>
        <v>TNT</v>
      </c>
      <c r="Q20" s="171">
        <f ca="1"/>
        <v>-2412.5299999999997</v>
      </c>
      <c r="R20" s="170">
        <f ca="1"/>
        <v>0.32</v>
      </c>
      <c r="S20" s="48"/>
    </row>
    <row r="21" spans="1:19" s="56" customFormat="1" ht="18.75" customHeight="1" x14ac:dyDescent="0.3">
      <c r="A21" s="48"/>
      <c r="B21" s="48"/>
      <c r="C21" s="48"/>
      <c r="D21" s="60"/>
      <c r="E21" s="48"/>
      <c r="F21" s="48"/>
      <c r="G21" s="48"/>
      <c r="H21" s="48"/>
      <c r="I21" s="48"/>
      <c r="J21" s="48"/>
      <c r="K21" s="48"/>
      <c r="L21" s="48"/>
      <c r="M21" s="48"/>
      <c r="N21" s="48"/>
      <c r="O21" s="48"/>
      <c r="P21" s="169" t="str">
        <f ca="1"/>
        <v>XRP</v>
      </c>
      <c r="Q21" s="171">
        <f ca="1"/>
        <v>-3358.5136614684338</v>
      </c>
      <c r="R21" s="170">
        <f ca="1"/>
        <v>1.412608780935483</v>
      </c>
      <c r="S21" s="48"/>
    </row>
    <row r="22" spans="1:19" ht="18.75" x14ac:dyDescent="0.3">
      <c r="A22" s="48"/>
      <c r="B22" s="48"/>
      <c r="C22" s="48"/>
      <c r="D22" s="60"/>
      <c r="E22" s="48"/>
      <c r="F22" s="48"/>
      <c r="G22" s="48"/>
      <c r="H22" s="48"/>
      <c r="I22" s="48"/>
      <c r="J22" s="48"/>
      <c r="K22" s="48"/>
      <c r="L22" s="48"/>
      <c r="M22" s="48"/>
      <c r="N22" s="48"/>
      <c r="O22" s="48"/>
      <c r="P22" s="169" t="str">
        <f ca="1"/>
        <v/>
      </c>
      <c r="Q22" s="155" t="str">
        <f ca="1"/>
        <v/>
      </c>
      <c r="R22" s="170" t="str">
        <f ca="1"/>
        <v/>
      </c>
      <c r="S22" s="48"/>
    </row>
    <row r="23" spans="1:19" ht="15.75" customHeight="1" x14ac:dyDescent="0.5">
      <c r="A23" s="48"/>
      <c r="B23" s="205"/>
      <c r="C23" s="205"/>
      <c r="D23" s="205"/>
      <c r="E23" s="48"/>
      <c r="F23" s="48"/>
      <c r="G23" s="48"/>
      <c r="H23" s="48"/>
      <c r="I23" s="48"/>
      <c r="J23" s="48"/>
      <c r="K23" s="48"/>
      <c r="L23" s="48"/>
      <c r="M23" s="48"/>
      <c r="N23" s="48"/>
      <c r="O23" s="48"/>
      <c r="P23" s="169"/>
      <c r="Q23" s="155"/>
      <c r="R23" s="170"/>
      <c r="S23" s="48"/>
    </row>
    <row r="24" spans="1:19" ht="18.75" x14ac:dyDescent="0.3">
      <c r="A24" s="48"/>
      <c r="B24" s="48"/>
      <c r="C24" s="206"/>
      <c r="D24" s="200"/>
      <c r="E24" s="200"/>
      <c r="F24" s="200"/>
      <c r="G24" s="200"/>
      <c r="H24" s="200"/>
      <c r="I24" s="200"/>
      <c r="J24" s="200"/>
      <c r="K24" s="200"/>
      <c r="L24" s="200"/>
      <c r="M24" s="200"/>
      <c r="N24" s="200"/>
      <c r="O24" s="163"/>
      <c r="P24" s="156"/>
      <c r="Q24" s="155"/>
      <c r="R24" s="170"/>
      <c r="S24" s="48"/>
    </row>
    <row r="25" spans="1:19" ht="16.5" thickBot="1" x14ac:dyDescent="0.3">
      <c r="A25" s="48"/>
      <c r="B25" s="48"/>
      <c r="C25" s="206"/>
      <c r="D25" s="82"/>
      <c r="E25" s="83"/>
      <c r="F25" s="83"/>
      <c r="G25" s="83"/>
      <c r="H25" s="83"/>
      <c r="I25" s="83"/>
      <c r="J25" s="83"/>
      <c r="K25" s="83"/>
      <c r="L25" s="83"/>
      <c r="M25" s="83"/>
      <c r="N25" s="83"/>
      <c r="O25" s="83"/>
      <c r="P25" s="168" t="s">
        <v>139</v>
      </c>
      <c r="Q25" s="167">
        <f ca="1">SUM(Q10:Q24)</f>
        <v>-87717.164488795621</v>
      </c>
      <c r="R25" s="167"/>
      <c r="S25" s="48"/>
    </row>
    <row r="26" spans="1:19" ht="15.75" customHeight="1" thickTop="1" x14ac:dyDescent="0.25">
      <c r="A26" s="48"/>
      <c r="B26" s="48"/>
      <c r="C26" s="48"/>
      <c r="D26" s="75"/>
      <c r="E26" s="75"/>
      <c r="F26" s="84"/>
      <c r="G26" s="85"/>
      <c r="H26" s="86"/>
      <c r="I26" s="87"/>
      <c r="J26" s="88"/>
      <c r="K26" s="89"/>
      <c r="L26" s="87"/>
      <c r="M26" s="87"/>
      <c r="N26" s="83"/>
      <c r="O26" s="83"/>
      <c r="P26" s="198" t="s">
        <v>140</v>
      </c>
      <c r="Q26" s="198"/>
      <c r="R26" s="198"/>
      <c r="S26" s="48"/>
    </row>
    <row r="27" spans="1:19" ht="15.75" x14ac:dyDescent="0.25">
      <c r="A27" s="48"/>
      <c r="B27" s="48"/>
      <c r="C27" s="48"/>
      <c r="D27" s="75"/>
      <c r="E27" s="75"/>
      <c r="F27" s="84"/>
      <c r="G27" s="85"/>
      <c r="H27" s="86"/>
      <c r="I27" s="87"/>
      <c r="J27" s="88"/>
      <c r="K27" s="89"/>
      <c r="L27" s="87"/>
      <c r="M27" s="87"/>
      <c r="N27" s="83"/>
      <c r="O27" s="83"/>
      <c r="P27" s="199"/>
      <c r="Q27" s="199"/>
      <c r="R27" s="199"/>
      <c r="S27" s="48"/>
    </row>
    <row r="28" spans="1:19" ht="15.75" x14ac:dyDescent="0.25">
      <c r="A28" s="48"/>
      <c r="B28" s="48"/>
      <c r="C28" s="48"/>
      <c r="D28" s="75"/>
      <c r="E28" s="75"/>
      <c r="F28" s="84"/>
      <c r="G28" s="85"/>
      <c r="H28" s="86"/>
      <c r="I28" s="87"/>
      <c r="J28" s="88"/>
      <c r="K28" s="89"/>
      <c r="L28" s="87"/>
      <c r="M28" s="87"/>
      <c r="N28" s="83"/>
      <c r="O28" s="83"/>
      <c r="P28" s="199"/>
      <c r="Q28" s="199"/>
      <c r="R28" s="199"/>
      <c r="S28" s="48"/>
    </row>
    <row r="29" spans="1:19" ht="15.75" x14ac:dyDescent="0.25">
      <c r="A29" s="48"/>
      <c r="B29" s="48"/>
      <c r="C29" s="48"/>
      <c r="D29" s="75"/>
      <c r="E29" s="75"/>
      <c r="F29" s="84"/>
      <c r="G29" s="85"/>
      <c r="H29" s="86"/>
      <c r="I29" s="87"/>
      <c r="J29" s="88"/>
      <c r="K29" s="89"/>
      <c r="L29" s="87"/>
      <c r="M29" s="87"/>
      <c r="N29" s="87"/>
      <c r="O29" s="87"/>
      <c r="P29" s="87" t="s">
        <v>141</v>
      </c>
      <c r="Q29" s="88"/>
      <c r="R29" s="87"/>
      <c r="S29" s="48"/>
    </row>
    <row r="30" spans="1:19" ht="15.75" x14ac:dyDescent="0.25">
      <c r="A30" s="48"/>
      <c r="B30" s="48"/>
      <c r="C30" s="48"/>
      <c r="D30" s="75"/>
      <c r="E30" s="75"/>
      <c r="F30" s="84"/>
      <c r="G30" s="85"/>
      <c r="H30" s="86"/>
      <c r="I30" s="87"/>
      <c r="J30" s="88"/>
      <c r="K30" s="89"/>
      <c r="L30" s="87"/>
      <c r="M30" s="87"/>
      <c r="N30" s="87"/>
      <c r="O30" s="87"/>
      <c r="P30" s="87"/>
      <c r="Q30" s="152"/>
      <c r="R30" s="87"/>
      <c r="S30" s="48"/>
    </row>
    <row r="31" spans="1:19" ht="15.75" x14ac:dyDescent="0.25">
      <c r="A31" s="48"/>
      <c r="B31" s="48"/>
      <c r="C31" s="48"/>
      <c r="D31" s="75"/>
      <c r="E31" s="75"/>
      <c r="F31" s="84"/>
      <c r="G31" s="85"/>
      <c r="H31" s="86"/>
      <c r="I31" s="87"/>
      <c r="J31" s="88"/>
      <c r="K31" s="89"/>
      <c r="L31" s="87"/>
      <c r="M31" s="87"/>
      <c r="N31" s="87"/>
      <c r="O31" s="87"/>
      <c r="P31" s="87"/>
      <c r="Q31" s="88"/>
      <c r="R31" s="87"/>
      <c r="S31" s="48"/>
    </row>
    <row r="32" spans="1:19" ht="15.75" x14ac:dyDescent="0.25">
      <c r="A32" s="48"/>
      <c r="B32" s="48"/>
      <c r="C32" s="48"/>
      <c r="D32" s="75"/>
      <c r="E32" s="75"/>
      <c r="F32" s="84"/>
      <c r="G32" s="85"/>
      <c r="H32" s="86"/>
      <c r="I32" s="87"/>
      <c r="J32" s="88"/>
      <c r="K32" s="89"/>
      <c r="L32" s="87"/>
      <c r="M32" s="87"/>
      <c r="N32" s="87"/>
      <c r="O32" s="87"/>
      <c r="P32" s="87"/>
      <c r="Q32" s="88"/>
      <c r="R32" s="87"/>
      <c r="S32" s="48"/>
    </row>
    <row r="33" spans="1:19" ht="15.75" x14ac:dyDescent="0.25">
      <c r="A33" s="48"/>
      <c r="B33" s="48"/>
      <c r="C33" s="48"/>
      <c r="D33" s="75"/>
      <c r="E33" s="75"/>
      <c r="F33" s="84"/>
      <c r="G33" s="85"/>
      <c r="H33" s="86"/>
      <c r="I33" s="87"/>
      <c r="J33" s="88"/>
      <c r="K33" s="89"/>
      <c r="L33" s="87"/>
      <c r="M33" s="87"/>
      <c r="N33" s="87"/>
      <c r="O33" s="87"/>
      <c r="P33" s="87"/>
      <c r="Q33" s="88"/>
      <c r="R33" s="87"/>
      <c r="S33" s="48"/>
    </row>
    <row r="34" spans="1:19" ht="15.75" x14ac:dyDescent="0.25">
      <c r="A34" s="48"/>
      <c r="B34" s="48"/>
      <c r="C34" s="48"/>
      <c r="D34" s="75"/>
      <c r="E34" s="75"/>
      <c r="F34" s="84"/>
      <c r="G34" s="85"/>
      <c r="H34" s="86"/>
      <c r="I34" s="87"/>
      <c r="J34" s="88"/>
      <c r="K34" s="89"/>
      <c r="L34" s="87"/>
      <c r="M34" s="87"/>
      <c r="N34" s="87"/>
      <c r="O34" s="87"/>
      <c r="P34" s="87"/>
      <c r="Q34" s="88"/>
      <c r="R34" s="87"/>
      <c r="S34" s="48"/>
    </row>
    <row r="35" spans="1:19" ht="15.75" x14ac:dyDescent="0.25">
      <c r="A35" s="48"/>
      <c r="B35" s="48"/>
      <c r="C35" s="48"/>
      <c r="D35" s="75"/>
      <c r="E35" s="75"/>
      <c r="F35" s="84"/>
      <c r="G35" s="85"/>
      <c r="H35" s="86"/>
      <c r="I35" s="87"/>
      <c r="J35" s="88"/>
      <c r="K35" s="89"/>
      <c r="L35" s="87"/>
      <c r="M35" s="87"/>
      <c r="N35" s="87"/>
      <c r="O35" s="87"/>
      <c r="P35" s="87"/>
      <c r="Q35" s="88"/>
      <c r="R35" s="87"/>
      <c r="S35" s="48"/>
    </row>
    <row r="36" spans="1:19" ht="15.75" x14ac:dyDescent="0.25">
      <c r="A36" s="48"/>
      <c r="B36" s="48"/>
      <c r="C36" s="48"/>
      <c r="D36" s="75"/>
      <c r="E36" s="75"/>
      <c r="F36" s="84"/>
      <c r="G36" s="85"/>
      <c r="H36" s="86"/>
      <c r="I36" s="87"/>
      <c r="J36" s="88"/>
      <c r="K36" s="89"/>
      <c r="L36" s="87"/>
      <c r="M36" s="87"/>
      <c r="N36" s="87"/>
      <c r="O36" s="87"/>
      <c r="P36" s="87"/>
      <c r="Q36" s="88"/>
      <c r="R36" s="87"/>
      <c r="S36" s="48"/>
    </row>
    <row r="37" spans="1:19" ht="15.75" x14ac:dyDescent="0.25">
      <c r="A37" s="48"/>
      <c r="B37" s="48"/>
      <c r="C37" s="48"/>
      <c r="D37" s="75"/>
      <c r="E37" s="75"/>
      <c r="F37" s="84"/>
      <c r="G37" s="85"/>
      <c r="H37" s="86"/>
      <c r="I37" s="87"/>
      <c r="J37" s="88"/>
      <c r="K37" s="89"/>
      <c r="L37" s="87"/>
      <c r="M37" s="87"/>
      <c r="N37" s="87"/>
      <c r="O37" s="87"/>
      <c r="P37" s="87"/>
      <c r="Q37" s="88"/>
      <c r="R37" s="87"/>
      <c r="S37" s="48"/>
    </row>
    <row r="38" spans="1:19" ht="15.75" x14ac:dyDescent="0.25">
      <c r="A38" s="48"/>
      <c r="B38" s="48"/>
      <c r="C38" s="48"/>
      <c r="D38" s="75"/>
      <c r="E38" s="75"/>
      <c r="F38" s="84"/>
      <c r="G38" s="85"/>
      <c r="H38" s="86"/>
      <c r="I38" s="87"/>
      <c r="J38" s="88"/>
      <c r="K38" s="89"/>
      <c r="L38" s="87"/>
      <c r="M38" s="87"/>
      <c r="N38" s="87"/>
      <c r="O38" s="87"/>
      <c r="P38" s="87"/>
      <c r="Q38" s="88"/>
      <c r="R38" s="87"/>
      <c r="S38" s="48"/>
    </row>
    <row r="39" spans="1:19" ht="15.75" x14ac:dyDescent="0.25">
      <c r="A39" s="48"/>
      <c r="B39" s="48"/>
      <c r="C39" s="48"/>
      <c r="D39" s="75"/>
      <c r="E39" s="75"/>
      <c r="F39" s="84"/>
      <c r="G39" s="85"/>
      <c r="H39" s="86"/>
      <c r="I39" s="87"/>
      <c r="J39" s="88"/>
      <c r="K39" s="89"/>
      <c r="L39" s="87"/>
      <c r="M39" s="87"/>
      <c r="N39" s="87"/>
      <c r="O39" s="87"/>
      <c r="P39" s="87"/>
      <c r="Q39" s="88"/>
      <c r="R39" s="87"/>
      <c r="S39" s="48"/>
    </row>
    <row r="40" spans="1:19" ht="15.75" x14ac:dyDescent="0.25">
      <c r="A40" s="48"/>
      <c r="B40" s="48"/>
      <c r="C40" s="48"/>
      <c r="D40" s="75"/>
      <c r="E40" s="75"/>
      <c r="F40" s="84"/>
      <c r="G40" s="85"/>
      <c r="H40" s="86"/>
      <c r="I40" s="90"/>
      <c r="J40" s="90"/>
      <c r="K40" s="91"/>
      <c r="L40" s="87"/>
      <c r="M40" s="87"/>
      <c r="N40" s="87"/>
      <c r="O40" s="87"/>
      <c r="P40" s="90"/>
      <c r="Q40" s="92"/>
      <c r="R40" s="90"/>
      <c r="S40" s="48"/>
    </row>
    <row r="41" spans="1:19" ht="15.75" x14ac:dyDescent="0.25">
      <c r="A41" s="48"/>
      <c r="B41" s="48"/>
      <c r="C41" s="48"/>
      <c r="D41" s="75"/>
      <c r="E41" s="75"/>
      <c r="F41" s="84"/>
      <c r="G41" s="85"/>
      <c r="H41" s="86"/>
      <c r="I41" s="90"/>
      <c r="J41" s="90"/>
      <c r="K41" s="91"/>
      <c r="L41" s="87"/>
      <c r="M41" s="87"/>
      <c r="N41" s="87"/>
      <c r="O41" s="87"/>
      <c r="P41" s="90"/>
      <c r="Q41" s="92"/>
      <c r="R41" s="90"/>
      <c r="S41" s="48"/>
    </row>
    <row r="42" spans="1:19" x14ac:dyDescent="0.25">
      <c r="A42" s="48"/>
      <c r="B42" s="48"/>
      <c r="C42" s="48"/>
      <c r="D42" s="60"/>
      <c r="E42" s="48"/>
      <c r="F42" s="48"/>
      <c r="G42" s="48"/>
      <c r="H42" s="48"/>
      <c r="I42" s="48"/>
      <c r="J42" s="48"/>
      <c r="K42" s="48"/>
      <c r="L42" s="48"/>
      <c r="M42" s="48"/>
      <c r="N42" s="48"/>
      <c r="O42" s="48"/>
      <c r="P42" s="48"/>
      <c r="Q42" s="48"/>
      <c r="R42" s="48"/>
      <c r="S42" s="48"/>
    </row>
    <row r="43" spans="1:19" x14ac:dyDescent="0.25">
      <c r="A43" s="48"/>
      <c r="B43" s="48"/>
      <c r="C43" s="48"/>
      <c r="D43" s="60"/>
      <c r="E43" s="48"/>
      <c r="F43" s="48"/>
      <c r="G43" s="48"/>
      <c r="H43" s="48"/>
      <c r="I43" s="48"/>
      <c r="J43" s="48"/>
      <c r="K43" s="48"/>
      <c r="L43" s="48"/>
      <c r="M43" s="48"/>
      <c r="N43" s="48"/>
      <c r="O43" s="48"/>
      <c r="P43" s="48"/>
      <c r="Q43" s="48"/>
      <c r="R43" s="48"/>
      <c r="S43" s="48"/>
    </row>
    <row r="44" spans="1:19" x14ac:dyDescent="0.25">
      <c r="D44"/>
    </row>
  </sheetData>
  <mergeCells count="13">
    <mergeCell ref="P26:R28"/>
    <mergeCell ref="B1:F3"/>
    <mergeCell ref="I1:L3"/>
    <mergeCell ref="N1:R3"/>
    <mergeCell ref="I24:N24"/>
    <mergeCell ref="B4:E5"/>
    <mergeCell ref="C8:D8"/>
    <mergeCell ref="C20:D20"/>
    <mergeCell ref="B23:D23"/>
    <mergeCell ref="C24:C25"/>
    <mergeCell ref="D24:E24"/>
    <mergeCell ref="F24:H24"/>
    <mergeCell ref="P7:R8"/>
  </mergeCells>
  <conditionalFormatting sqref="H26:H41">
    <cfRule type="iconSet" priority="39">
      <iconSet iconSet="5Quarters">
        <cfvo type="percent" val="0"/>
        <cfvo type="percent" val="20"/>
        <cfvo type="percent" val="40"/>
        <cfvo type="percent" val="60"/>
        <cfvo type="percent" val="80"/>
      </iconSet>
    </cfRule>
  </conditionalFormatting>
  <conditionalFormatting sqref="K26:K41">
    <cfRule type="iconSet" priority="40">
      <iconSet iconSet="5Quarters">
        <cfvo type="percent" val="0"/>
        <cfvo type="percent" val="20"/>
        <cfvo type="percent" val="40"/>
        <cfvo type="percent" val="60"/>
        <cfvo type="percent" val="80"/>
      </iconSet>
    </cfRule>
  </conditionalFormatting>
  <conditionalFormatting sqref="M6:M1048576">
    <cfRule type="expression" dxfId="30" priority="33">
      <formula>M6&lt;0</formula>
    </cfRule>
  </conditionalFormatting>
  <conditionalFormatting sqref="L6:L1048576">
    <cfRule type="expression" dxfId="29" priority="34">
      <formula>L6&lt;0</formula>
    </cfRule>
  </conditionalFormatting>
  <conditionalFormatting sqref="K6:K1048576">
    <cfRule type="expression" dxfId="28" priority="35">
      <formula>K6&lt;0</formula>
    </cfRule>
  </conditionalFormatting>
  <conditionalFormatting sqref="J6:J1048576">
    <cfRule type="expression" dxfId="27" priority="36">
      <formula>J6&lt;0</formula>
    </cfRule>
  </conditionalFormatting>
  <conditionalFormatting sqref="I6:I1048576">
    <cfRule type="expression" dxfId="26" priority="37">
      <formula>I6&lt;0</formula>
    </cfRule>
  </conditionalFormatting>
  <conditionalFormatting sqref="R5 H5 F5">
    <cfRule type="expression" dxfId="25" priority="27">
      <formula>F5&gt;0</formula>
    </cfRule>
    <cfRule type="expression" dxfId="24" priority="28">
      <formula>F5&lt;0</formula>
    </cfRule>
  </conditionalFormatting>
  <conditionalFormatting sqref="P5">
    <cfRule type="expression" dxfId="23" priority="25">
      <formula>P5&gt;0</formula>
    </cfRule>
    <cfRule type="expression" dxfId="22" priority="26">
      <formula>P5&lt;0</formula>
    </cfRule>
  </conditionalFormatting>
  <conditionalFormatting sqref="L5">
    <cfRule type="expression" dxfId="21" priority="24">
      <formula>L5&lt;0</formula>
    </cfRule>
  </conditionalFormatting>
  <conditionalFormatting sqref="L5">
    <cfRule type="expression" dxfId="20" priority="22">
      <formula>L5&gt;0</formula>
    </cfRule>
    <cfRule type="expression" dxfId="19" priority="23">
      <formula>L5&lt;0</formula>
    </cfRule>
  </conditionalFormatting>
  <conditionalFormatting sqref="J5">
    <cfRule type="expression" dxfId="18" priority="21">
      <formula>J5&lt;0</formula>
    </cfRule>
  </conditionalFormatting>
  <conditionalFormatting sqref="J5">
    <cfRule type="expression" dxfId="17" priority="19">
      <formula>J5&gt;0</formula>
    </cfRule>
    <cfRule type="expression" dxfId="16" priority="20">
      <formula>J5&lt;0</formula>
    </cfRule>
  </conditionalFormatting>
  <conditionalFormatting sqref="G21:G1048576">
    <cfRule type="expression" dxfId="15" priority="18">
      <formula>G21&lt;0</formula>
    </cfRule>
  </conditionalFormatting>
  <conditionalFormatting sqref="E20:G20">
    <cfRule type="expression" dxfId="14" priority="17">
      <formula>E20&lt;0</formula>
    </cfRule>
  </conditionalFormatting>
  <conditionalFormatting sqref="E20:G20">
    <cfRule type="expression" dxfId="13" priority="15">
      <formula>E20&gt;0</formula>
    </cfRule>
    <cfRule type="expression" dxfId="12" priority="16">
      <formula>E20&lt;0</formula>
    </cfRule>
  </conditionalFormatting>
  <conditionalFormatting sqref="G1:H3">
    <cfRule type="expression" dxfId="11" priority="14">
      <formula>G1&lt;0</formula>
    </cfRule>
  </conditionalFormatting>
  <conditionalFormatting sqref="B1">
    <cfRule type="expression" dxfId="10" priority="13">
      <formula>B1&lt;0</formula>
    </cfRule>
  </conditionalFormatting>
  <conditionalFormatting sqref="M1:M3">
    <cfRule type="expression" dxfId="9" priority="12">
      <formula>M1&lt;0</formula>
    </cfRule>
  </conditionalFormatting>
  <conditionalFormatting sqref="P21">
    <cfRule type="expression" dxfId="8" priority="11">
      <formula>P21&lt;0</formula>
    </cfRule>
  </conditionalFormatting>
  <conditionalFormatting sqref="N5">
    <cfRule type="expression" dxfId="7" priority="7">
      <formula>N5&gt;0</formula>
    </cfRule>
    <cfRule type="expression" dxfId="6" priority="8">
      <formula>N5&lt;0</formula>
    </cfRule>
  </conditionalFormatting>
  <conditionalFormatting sqref="Q25">
    <cfRule type="expression" dxfId="5" priority="3">
      <formula>Q25&gt;0</formula>
    </cfRule>
    <cfRule type="expression" dxfId="4" priority="4">
      <formula>Q25&lt;0</formula>
    </cfRule>
  </conditionalFormatting>
  <conditionalFormatting sqref="Q10:Q21">
    <cfRule type="expression" dxfId="3" priority="1">
      <formula>Q10&gt;0</formula>
    </cfRule>
    <cfRule type="expression" dxfId="2" priority="2">
      <formula>Q10&lt;0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personal_stock_portfolio">
                <anchor moveWithCells="1" sizeWithCells="1">
                  <from>
                    <xdr:col>1</xdr:col>
                    <xdr:colOff>209550</xdr:colOff>
                    <xdr:row>0</xdr:row>
                    <xdr:rowOff>9525</xdr:rowOff>
                  </from>
                  <to>
                    <xdr:col>6</xdr:col>
                    <xdr:colOff>733425</xdr:colOff>
                    <xdr:row>2</xdr:row>
                    <xdr:rowOff>238125</xdr:rowOff>
                  </to>
                </anchor>
              </controlPr>
            </control>
          </mc:Choice>
        </mc:AlternateContent>
        <mc:AlternateContent xmlns:mc="http://schemas.openxmlformats.org/markup-compatibility/2006">
          <mc:Choice Requires="x14">
            <control shapeId="4098" r:id="rId4" name="Button 2">
              <controlPr defaultSize="0" print="0" autoFill="0" autoPict="0" macro="[0]!dash_date_button">
                <anchor moveWithCells="1" sizeWithCells="1">
                  <from>
                    <xdr:col>8</xdr:col>
                    <xdr:colOff>742950</xdr:colOff>
                    <xdr:row>0</xdr:row>
                    <xdr:rowOff>0</xdr:rowOff>
                  </from>
                  <to>
                    <xdr:col>12</xdr:col>
                    <xdr:colOff>295275</xdr:colOff>
                    <xdr:row>2</xdr:row>
                    <xdr:rowOff>238125</xdr:rowOff>
                  </to>
                </anchor>
              </controlPr>
            </control>
          </mc:Choice>
        </mc:AlternateContent>
        <mc:AlternateContent xmlns:mc="http://schemas.openxmlformats.org/markup-compatibility/2006">
          <mc:Choice Requires="x14">
            <control shapeId="4099" r:id="rId5" name="Button 3">
              <controlPr defaultSize="0" print="0" autoFill="0" autoPict="0" macro="[0]!Dash_Current_Holdings">
                <anchor moveWithCells="1" sizeWithCells="1">
                  <from>
                    <xdr:col>13</xdr:col>
                    <xdr:colOff>457200</xdr:colOff>
                    <xdr:row>0</xdr:row>
                    <xdr:rowOff>0</xdr:rowOff>
                  </from>
                  <to>
                    <xdr:col>17</xdr:col>
                    <xdr:colOff>1285875</xdr:colOff>
                    <xdr:row>2</xdr:row>
                    <xdr:rowOff>276225</xdr:rowOff>
                  </to>
                </anchor>
              </controlPr>
            </control>
          </mc:Choice>
        </mc:AlternateContent>
        <mc:AlternateContent xmlns:mc="http://schemas.openxmlformats.org/markup-compatibility/2006">
          <mc:Choice Requires="x14">
            <control shapeId="4100" r:id="rId6" name="Group Box 4">
              <controlPr defaultSize="0" autoFill="0" autoPict="0">
                <anchor moveWithCells="1">
                  <from>
                    <xdr:col>13</xdr:col>
                    <xdr:colOff>219075</xdr:colOff>
                    <xdr:row>30</xdr:row>
                    <xdr:rowOff>114300</xdr:rowOff>
                  </from>
                  <to>
                    <xdr:col>17</xdr:col>
                    <xdr:colOff>1247775</xdr:colOff>
                    <xdr:row>40</xdr:row>
                    <xdr:rowOff>95250</xdr:rowOff>
                  </to>
                </anchor>
              </controlPr>
            </control>
          </mc:Choice>
        </mc:AlternateContent>
        <mc:AlternateContent xmlns:mc="http://schemas.openxmlformats.org/markup-compatibility/2006">
          <mc:Choice Requires="x14">
            <control shapeId="4101" r:id="rId7" name="Option Button 5">
              <controlPr defaultSize="0" autoFill="0" autoLine="0" autoPict="0">
                <anchor moveWithCells="1">
                  <from>
                    <xdr:col>13</xdr:col>
                    <xdr:colOff>390525</xdr:colOff>
                    <xdr:row>31</xdr:row>
                    <xdr:rowOff>76200</xdr:rowOff>
                  </from>
                  <to>
                    <xdr:col>14</xdr:col>
                    <xdr:colOff>171450</xdr:colOff>
                    <xdr:row>33</xdr:row>
                    <xdr:rowOff>95250</xdr:rowOff>
                  </to>
                </anchor>
              </controlPr>
            </control>
          </mc:Choice>
        </mc:AlternateContent>
        <mc:AlternateContent xmlns:mc="http://schemas.openxmlformats.org/markup-compatibility/2006">
          <mc:Choice Requires="x14">
            <control shapeId="4102" r:id="rId8" name="Option Button 6">
              <controlPr defaultSize="0" autoFill="0" autoLine="0" autoPict="0">
                <anchor moveWithCells="1">
                  <from>
                    <xdr:col>13</xdr:col>
                    <xdr:colOff>400050</xdr:colOff>
                    <xdr:row>32</xdr:row>
                    <xdr:rowOff>142875</xdr:rowOff>
                  </from>
                  <to>
                    <xdr:col>14</xdr:col>
                    <xdr:colOff>180975</xdr:colOff>
                    <xdr:row>34</xdr:row>
                    <xdr:rowOff>161925</xdr:rowOff>
                  </to>
                </anchor>
              </controlPr>
            </control>
          </mc:Choice>
        </mc:AlternateContent>
        <mc:AlternateContent xmlns:mc="http://schemas.openxmlformats.org/markup-compatibility/2006">
          <mc:Choice Requires="x14">
            <control shapeId="4103" r:id="rId9" name="Option Button 7">
              <controlPr defaultSize="0" autoFill="0" autoLine="0" autoPict="0">
                <anchor moveWithCells="1">
                  <from>
                    <xdr:col>13</xdr:col>
                    <xdr:colOff>390525</xdr:colOff>
                    <xdr:row>34</xdr:row>
                    <xdr:rowOff>9525</xdr:rowOff>
                  </from>
                  <to>
                    <xdr:col>14</xdr:col>
                    <xdr:colOff>171450</xdr:colOff>
                    <xdr:row>36</xdr:row>
                    <xdr:rowOff>28575</xdr:rowOff>
                  </to>
                </anchor>
              </controlPr>
            </control>
          </mc:Choice>
        </mc:AlternateContent>
        <mc:AlternateContent xmlns:mc="http://schemas.openxmlformats.org/markup-compatibility/2006">
          <mc:Choice Requires="x14">
            <control shapeId="4104" r:id="rId10" name="Option Button 8">
              <controlPr defaultSize="0" autoFill="0" autoLine="0" autoPict="0">
                <anchor moveWithCells="1">
                  <from>
                    <xdr:col>13</xdr:col>
                    <xdr:colOff>390525</xdr:colOff>
                    <xdr:row>35</xdr:row>
                    <xdr:rowOff>114300</xdr:rowOff>
                  </from>
                  <to>
                    <xdr:col>14</xdr:col>
                    <xdr:colOff>171450</xdr:colOff>
                    <xdr:row>37</xdr:row>
                    <xdr:rowOff>133350</xdr:rowOff>
                  </to>
                </anchor>
              </controlPr>
            </control>
          </mc:Choice>
        </mc:AlternateContent>
        <mc:AlternateContent xmlns:mc="http://schemas.openxmlformats.org/markup-compatibility/2006">
          <mc:Choice Requires="x14">
            <control shapeId="4105" r:id="rId11" name="Option Button 9">
              <controlPr defaultSize="0" autoFill="0" autoLine="0" autoPict="0">
                <anchor moveWithCells="1">
                  <from>
                    <xdr:col>13</xdr:col>
                    <xdr:colOff>381000</xdr:colOff>
                    <xdr:row>37</xdr:row>
                    <xdr:rowOff>38100</xdr:rowOff>
                  </from>
                  <to>
                    <xdr:col>14</xdr:col>
                    <xdr:colOff>161925</xdr:colOff>
                    <xdr:row>39</xdr:row>
                    <xdr:rowOff>57150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I1530"/>
  <sheetViews>
    <sheetView topLeftCell="A1040" workbookViewId="0">
      <selection activeCell="E1085" sqref="E1085"/>
    </sheetView>
  </sheetViews>
  <sheetFormatPr defaultRowHeight="15" x14ac:dyDescent="0.25"/>
  <cols>
    <col min="1" max="1" width="12.140625" customWidth="1"/>
    <col min="2" max="2" width="12.42578125" style="14" customWidth="1"/>
    <col min="3" max="3" width="13.28515625" style="33" customWidth="1"/>
    <col min="4" max="4" width="12.28515625" style="14" customWidth="1"/>
    <col min="5" max="5" width="29.42578125" style="31" customWidth="1"/>
    <col min="6" max="6" width="32" style="32" customWidth="1"/>
    <col min="7" max="7" width="15.7109375" style="32" customWidth="1"/>
    <col min="8" max="8" width="17.140625" style="14" bestFit="1" customWidth="1"/>
    <col min="9" max="9" width="15.7109375" style="30" bestFit="1" customWidth="1"/>
    <col min="10" max="16384" width="9.140625" style="14"/>
  </cols>
  <sheetData>
    <row r="1" spans="1:9" ht="15.75" customHeight="1" x14ac:dyDescent="0.25">
      <c r="A1" s="35" t="s">
        <v>26</v>
      </c>
      <c r="B1" s="34" t="s">
        <v>0</v>
      </c>
      <c r="C1" s="35" t="s">
        <v>1</v>
      </c>
      <c r="D1" s="36" t="s">
        <v>40</v>
      </c>
      <c r="E1" s="37" t="s">
        <v>41</v>
      </c>
      <c r="F1" s="37" t="s">
        <v>42</v>
      </c>
      <c r="G1" s="37" t="s">
        <v>43</v>
      </c>
      <c r="H1" s="38" t="s">
        <v>84</v>
      </c>
      <c r="I1" s="14"/>
    </row>
    <row r="2" spans="1:9" ht="15.75" customHeight="1" x14ac:dyDescent="0.25">
      <c r="A2" s="16" t="s">
        <v>6</v>
      </c>
      <c r="B2" s="15">
        <v>44200</v>
      </c>
      <c r="C2" s="16" t="s">
        <v>2</v>
      </c>
      <c r="D2" s="17">
        <v>3846</v>
      </c>
      <c r="E2" s="18">
        <v>0.52</v>
      </c>
      <c r="F2" s="19">
        <v>19.95</v>
      </c>
      <c r="G2" s="16" t="s">
        <v>83</v>
      </c>
      <c r="H2" s="20">
        <f>InputData[[#This Row],[Transacted Units]]*InputData[[#This Row],[Transacted Price (per unit)]]</f>
        <v>1999.92</v>
      </c>
      <c r="I2" s="14"/>
    </row>
    <row r="3" spans="1:9" ht="15.75" customHeight="1" x14ac:dyDescent="0.25">
      <c r="A3" s="16" t="s">
        <v>7</v>
      </c>
      <c r="B3" s="15">
        <v>44050</v>
      </c>
      <c r="C3" s="16" t="s">
        <v>2</v>
      </c>
      <c r="D3" s="17">
        <v>769</v>
      </c>
      <c r="E3" s="18">
        <v>1.3</v>
      </c>
      <c r="F3" s="19">
        <v>10</v>
      </c>
      <c r="G3" s="16" t="s">
        <v>83</v>
      </c>
      <c r="H3" s="20">
        <f>InputData[[#This Row],[Transacted Units]]*InputData[[#This Row],[Transacted Price (per unit)]]</f>
        <v>999.7</v>
      </c>
      <c r="I3" s="14"/>
    </row>
    <row r="4" spans="1:9" ht="15.75" customHeight="1" x14ac:dyDescent="0.25">
      <c r="A4" s="16" t="s">
        <v>7</v>
      </c>
      <c r="B4" s="21">
        <v>44266</v>
      </c>
      <c r="C4" s="16" t="s">
        <v>3</v>
      </c>
      <c r="D4" s="17">
        <v>769</v>
      </c>
      <c r="E4" s="18">
        <v>1.365</v>
      </c>
      <c r="F4" s="18">
        <v>19.95</v>
      </c>
      <c r="G4" s="16" t="s">
        <v>83</v>
      </c>
      <c r="H4" s="20">
        <f>InputData[[#This Row],[Transacted Units]]*InputData[[#This Row],[Transacted Price (per unit)]]</f>
        <v>1049.6849999999999</v>
      </c>
      <c r="I4" s="14"/>
    </row>
    <row r="5" spans="1:9" ht="15.75" customHeight="1" x14ac:dyDescent="0.25">
      <c r="A5" s="16" t="s">
        <v>8</v>
      </c>
      <c r="B5" s="21">
        <v>44088</v>
      </c>
      <c r="C5" s="16" t="s">
        <v>2</v>
      </c>
      <c r="D5" s="17">
        <v>5000000</v>
      </c>
      <c r="E5" s="18">
        <v>1E-3</v>
      </c>
      <c r="F5" s="18">
        <v>19.95</v>
      </c>
      <c r="G5" s="16" t="s">
        <v>83</v>
      </c>
      <c r="H5" s="20">
        <f>InputData[[#This Row],[Transacted Units]]*InputData[[#This Row],[Transacted Price (per unit)]]</f>
        <v>5000</v>
      </c>
      <c r="I5" s="14"/>
    </row>
    <row r="6" spans="1:9" ht="15.75" customHeight="1" x14ac:dyDescent="0.25">
      <c r="A6" s="16" t="s">
        <v>8</v>
      </c>
      <c r="B6" s="21">
        <v>44098</v>
      </c>
      <c r="C6" s="16" t="s">
        <v>2</v>
      </c>
      <c r="D6" s="17">
        <v>5000000</v>
      </c>
      <c r="E6" s="18">
        <v>1E-3</v>
      </c>
      <c r="F6" s="18">
        <v>19.95</v>
      </c>
      <c r="G6" s="16" t="s">
        <v>83</v>
      </c>
      <c r="H6" s="20">
        <f>InputData[[#This Row],[Transacted Units]]*InputData[[#This Row],[Transacted Price (per unit)]]</f>
        <v>5000</v>
      </c>
      <c r="I6" s="14"/>
    </row>
    <row r="7" spans="1:9" ht="15.75" customHeight="1" x14ac:dyDescent="0.25">
      <c r="A7" s="16" t="s">
        <v>8</v>
      </c>
      <c r="B7" s="21">
        <v>44209</v>
      </c>
      <c r="C7" s="16" t="s">
        <v>3</v>
      </c>
      <c r="D7" s="17">
        <v>5000000</v>
      </c>
      <c r="E7" s="18">
        <v>1E-3</v>
      </c>
      <c r="F7" s="18">
        <v>19.95</v>
      </c>
      <c r="G7" s="16" t="s">
        <v>83</v>
      </c>
      <c r="H7" s="20">
        <f>InputData[[#This Row],[Transacted Units]]*InputData[[#This Row],[Transacted Price (per unit)]]</f>
        <v>5000</v>
      </c>
      <c r="I7" s="14"/>
    </row>
    <row r="8" spans="1:9" ht="15.75" customHeight="1" x14ac:dyDescent="0.25">
      <c r="A8" s="16" t="s">
        <v>8</v>
      </c>
      <c r="B8" s="21">
        <v>44480</v>
      </c>
      <c r="C8" s="16" t="s">
        <v>3</v>
      </c>
      <c r="D8" s="17">
        <v>4000000</v>
      </c>
      <c r="E8" s="18">
        <v>1E-3</v>
      </c>
      <c r="F8" s="19">
        <v>19.95</v>
      </c>
      <c r="G8" s="16" t="s">
        <v>83</v>
      </c>
      <c r="H8" s="20">
        <f>InputData[[#This Row],[Transacted Units]]*InputData[[#This Row],[Transacted Price (per unit)]]</f>
        <v>4000</v>
      </c>
      <c r="I8" s="14"/>
    </row>
    <row r="9" spans="1:9" ht="15.75" customHeight="1" x14ac:dyDescent="0.25">
      <c r="A9" s="16" t="s">
        <v>8</v>
      </c>
      <c r="B9" s="21">
        <v>44480</v>
      </c>
      <c r="C9" s="16" t="s">
        <v>3</v>
      </c>
      <c r="D9" s="17">
        <v>1000000</v>
      </c>
      <c r="E9" s="18">
        <v>1E-3</v>
      </c>
      <c r="F9" s="19">
        <v>10</v>
      </c>
      <c r="G9" s="16" t="s">
        <v>83</v>
      </c>
      <c r="H9" s="20">
        <f>InputData[[#This Row],[Transacted Units]]*InputData[[#This Row],[Transacted Price (per unit)]]</f>
        <v>1000</v>
      </c>
      <c r="I9" s="14"/>
    </row>
    <row r="10" spans="1:9" ht="15.75" customHeight="1" x14ac:dyDescent="0.25">
      <c r="A10" s="16" t="s">
        <v>9</v>
      </c>
      <c r="B10" s="15">
        <v>44523</v>
      </c>
      <c r="C10" s="16" t="s">
        <v>2</v>
      </c>
      <c r="D10" s="17">
        <v>3703</v>
      </c>
      <c r="E10" s="18">
        <v>0.54</v>
      </c>
      <c r="F10" s="19">
        <v>19.95</v>
      </c>
      <c r="G10" s="16" t="s">
        <v>83</v>
      </c>
      <c r="H10" s="20">
        <f>InputData[[#This Row],[Transacted Units]]*InputData[[#This Row],[Transacted Price (per unit)]]</f>
        <v>1999.6200000000001</v>
      </c>
      <c r="I10" s="14"/>
    </row>
    <row r="11" spans="1:9" ht="15.75" customHeight="1" x14ac:dyDescent="0.25">
      <c r="A11" s="16" t="s">
        <v>9</v>
      </c>
      <c r="B11" s="15">
        <v>44335</v>
      </c>
      <c r="C11" s="16" t="s">
        <v>3</v>
      </c>
      <c r="D11" s="17">
        <v>2898</v>
      </c>
      <c r="E11" s="18">
        <v>0.34499999999999997</v>
      </c>
      <c r="F11" s="19">
        <v>10</v>
      </c>
      <c r="G11" s="16" t="s">
        <v>83</v>
      </c>
      <c r="H11" s="20">
        <f>InputData[[#This Row],[Transacted Units]]*InputData[[#This Row],[Transacted Price (per unit)]]</f>
        <v>999.81</v>
      </c>
      <c r="I11" s="14"/>
    </row>
    <row r="12" spans="1:9" ht="15.75" customHeight="1" x14ac:dyDescent="0.25">
      <c r="A12" s="16" t="s">
        <v>9</v>
      </c>
      <c r="B12" s="15">
        <v>44327</v>
      </c>
      <c r="C12" s="16" t="s">
        <v>2</v>
      </c>
      <c r="D12" s="17">
        <v>2898</v>
      </c>
      <c r="E12" s="18">
        <v>0.33</v>
      </c>
      <c r="F12" s="19">
        <v>10</v>
      </c>
      <c r="G12" s="16" t="s">
        <v>83</v>
      </c>
      <c r="H12" s="20">
        <f>InputData[[#This Row],[Transacted Units]]*InputData[[#This Row],[Transacted Price (per unit)]]</f>
        <v>956.34</v>
      </c>
      <c r="I12" s="14"/>
    </row>
    <row r="13" spans="1:9" ht="15.75" customHeight="1" x14ac:dyDescent="0.25">
      <c r="A13" s="16" t="s">
        <v>9</v>
      </c>
      <c r="B13" s="15">
        <v>44308</v>
      </c>
      <c r="C13" s="16" t="s">
        <v>2</v>
      </c>
      <c r="D13" s="17">
        <v>2150</v>
      </c>
      <c r="E13" s="18">
        <v>0.46500000000000002</v>
      </c>
      <c r="F13" s="19">
        <v>10</v>
      </c>
      <c r="G13" s="16" t="s">
        <v>83</v>
      </c>
      <c r="H13" s="20">
        <f>InputData[[#This Row],[Transacted Units]]*InputData[[#This Row],[Transacted Price (per unit)]]</f>
        <v>999.75</v>
      </c>
      <c r="I13" s="14"/>
    </row>
    <row r="14" spans="1:9" ht="15.75" customHeight="1" x14ac:dyDescent="0.25">
      <c r="A14" s="16" t="s">
        <v>9</v>
      </c>
      <c r="B14" s="15">
        <v>44284</v>
      </c>
      <c r="C14" s="16" t="s">
        <v>2</v>
      </c>
      <c r="D14" s="17">
        <v>6000</v>
      </c>
      <c r="E14" s="18">
        <v>0.51</v>
      </c>
      <c r="F14" s="19">
        <v>19.95</v>
      </c>
      <c r="G14" s="16" t="s">
        <v>83</v>
      </c>
      <c r="H14" s="20">
        <f>InputData[[#This Row],[Transacted Units]]*InputData[[#This Row],[Transacted Price (per unit)]]</f>
        <v>3060</v>
      </c>
      <c r="I14" s="14"/>
    </row>
    <row r="15" spans="1:9" ht="15.75" customHeight="1" x14ac:dyDescent="0.25">
      <c r="A15" s="16" t="s">
        <v>9</v>
      </c>
      <c r="B15" s="15">
        <v>44201</v>
      </c>
      <c r="C15" s="16" t="s">
        <v>2</v>
      </c>
      <c r="D15" s="17">
        <v>5042</v>
      </c>
      <c r="E15" s="18">
        <v>0.59499999999999997</v>
      </c>
      <c r="F15" s="19">
        <v>19.95</v>
      </c>
      <c r="G15" s="16" t="s">
        <v>83</v>
      </c>
      <c r="H15" s="20">
        <f>InputData[[#This Row],[Transacted Units]]*InputData[[#This Row],[Transacted Price (per unit)]]</f>
        <v>2999.99</v>
      </c>
      <c r="I15" s="14"/>
    </row>
    <row r="16" spans="1:9" ht="15.75" customHeight="1" x14ac:dyDescent="0.25">
      <c r="A16" s="16" t="s">
        <v>9</v>
      </c>
      <c r="B16" s="15">
        <v>44106</v>
      </c>
      <c r="C16" s="16" t="s">
        <v>2</v>
      </c>
      <c r="D16" s="17">
        <v>6896</v>
      </c>
      <c r="E16" s="18">
        <v>0.72499999999999998</v>
      </c>
      <c r="F16" s="19">
        <v>19.95</v>
      </c>
      <c r="G16" s="16" t="s">
        <v>83</v>
      </c>
      <c r="H16" s="20">
        <f>InputData[[#This Row],[Transacted Units]]*InputData[[#This Row],[Transacted Price (per unit)]]</f>
        <v>4999.5999999999995</v>
      </c>
      <c r="I16" s="14"/>
    </row>
    <row r="17" spans="1:9" ht="15.75" customHeight="1" x14ac:dyDescent="0.25">
      <c r="A17" s="16" t="s">
        <v>9</v>
      </c>
      <c r="B17" s="15">
        <v>44099</v>
      </c>
      <c r="C17" s="16" t="s">
        <v>2</v>
      </c>
      <c r="D17" s="17">
        <v>3973</v>
      </c>
      <c r="E17" s="18">
        <v>0.755</v>
      </c>
      <c r="F17" s="19">
        <v>19.96</v>
      </c>
      <c r="G17" s="16" t="s">
        <v>83</v>
      </c>
      <c r="H17" s="20">
        <f>InputData[[#This Row],[Transacted Units]]*InputData[[#This Row],[Transacted Price (per unit)]]</f>
        <v>2999.6150000000002</v>
      </c>
      <c r="I17" s="14"/>
    </row>
    <row r="18" spans="1:9" ht="15.75" customHeight="1" x14ac:dyDescent="0.25">
      <c r="A18" s="16" t="s">
        <v>9</v>
      </c>
      <c r="B18" s="15">
        <v>44092</v>
      </c>
      <c r="C18" s="16" t="s">
        <v>2</v>
      </c>
      <c r="D18" s="17">
        <v>3821</v>
      </c>
      <c r="E18" s="18">
        <v>0.78500000000000003</v>
      </c>
      <c r="F18" s="19">
        <v>19.96</v>
      </c>
      <c r="G18" s="16" t="s">
        <v>83</v>
      </c>
      <c r="H18" s="20">
        <f>InputData[[#This Row],[Transacted Units]]*InputData[[#This Row],[Transacted Price (per unit)]]</f>
        <v>2999.4850000000001</v>
      </c>
      <c r="I18" s="14"/>
    </row>
    <row r="19" spans="1:9" ht="15.75" customHeight="1" x14ac:dyDescent="0.25">
      <c r="A19" s="16" t="s">
        <v>9</v>
      </c>
      <c r="B19" s="15">
        <v>43867</v>
      </c>
      <c r="C19" s="16" t="s">
        <v>2</v>
      </c>
      <c r="D19" s="17">
        <v>2702</v>
      </c>
      <c r="E19" s="18">
        <v>0.73</v>
      </c>
      <c r="F19" s="19">
        <v>19.96</v>
      </c>
      <c r="G19" s="16" t="s">
        <v>83</v>
      </c>
      <c r="H19" s="20">
        <f>InputData[[#This Row],[Transacted Units]]*InputData[[#This Row],[Transacted Price (per unit)]]</f>
        <v>1972.46</v>
      </c>
      <c r="I19" s="14"/>
    </row>
    <row r="20" spans="1:9" ht="15.75" customHeight="1" x14ac:dyDescent="0.25">
      <c r="A20" s="16" t="s">
        <v>9</v>
      </c>
      <c r="B20" s="15">
        <v>43858</v>
      </c>
      <c r="C20" s="16" t="s">
        <v>2</v>
      </c>
      <c r="D20" s="17">
        <v>1914</v>
      </c>
      <c r="E20" s="18">
        <v>0.94</v>
      </c>
      <c r="F20" s="19">
        <v>19.96</v>
      </c>
      <c r="G20" s="16" t="s">
        <v>83</v>
      </c>
      <c r="H20" s="20">
        <f>InputData[[#This Row],[Transacted Units]]*InputData[[#This Row],[Transacted Price (per unit)]]</f>
        <v>1799.1599999999999</v>
      </c>
      <c r="I20" s="14"/>
    </row>
    <row r="21" spans="1:9" ht="15.75" customHeight="1" x14ac:dyDescent="0.25">
      <c r="A21" s="16" t="s">
        <v>9</v>
      </c>
      <c r="B21" s="15">
        <v>44141</v>
      </c>
      <c r="C21" s="16" t="s">
        <v>2</v>
      </c>
      <c r="D21" s="17">
        <v>3021</v>
      </c>
      <c r="E21" s="18">
        <v>0.66</v>
      </c>
      <c r="F21" s="19">
        <v>5</v>
      </c>
      <c r="G21" s="16" t="s">
        <v>83</v>
      </c>
      <c r="H21" s="20">
        <f>InputData[[#This Row],[Transacted Units]]*InputData[[#This Row],[Transacted Price (per unit)]]</f>
        <v>1993.8600000000001</v>
      </c>
      <c r="I21" s="14"/>
    </row>
    <row r="22" spans="1:9" ht="15.75" customHeight="1" x14ac:dyDescent="0.25">
      <c r="A22" s="16" t="s">
        <v>9</v>
      </c>
      <c r="B22" s="15">
        <v>44236</v>
      </c>
      <c r="C22" s="16" t="s">
        <v>3</v>
      </c>
      <c r="D22" s="17">
        <v>3021</v>
      </c>
      <c r="E22" s="18">
        <v>0.69</v>
      </c>
      <c r="F22" s="19">
        <v>5</v>
      </c>
      <c r="G22" s="16" t="s">
        <v>83</v>
      </c>
      <c r="H22" s="20">
        <f>InputData[[#This Row],[Transacted Units]]*InputData[[#This Row],[Transacted Price (per unit)]]</f>
        <v>2084.4899999999998</v>
      </c>
      <c r="I22" s="14"/>
    </row>
    <row r="23" spans="1:9" ht="15.75" customHeight="1" x14ac:dyDescent="0.25">
      <c r="A23" s="16" t="s">
        <v>9</v>
      </c>
      <c r="B23" s="15">
        <v>44242</v>
      </c>
      <c r="C23" s="16" t="s">
        <v>2</v>
      </c>
      <c r="D23" s="17">
        <v>3429</v>
      </c>
      <c r="E23" s="18">
        <v>0.60499999999999998</v>
      </c>
      <c r="F23" s="19">
        <v>5.01</v>
      </c>
      <c r="G23" s="16" t="s">
        <v>83</v>
      </c>
      <c r="H23" s="20">
        <f>InputData[[#This Row],[Transacted Units]]*InputData[[#This Row],[Transacted Price (per unit)]]</f>
        <v>2074.5450000000001</v>
      </c>
      <c r="I23" s="14"/>
    </row>
    <row r="24" spans="1:9" ht="15.75" customHeight="1" x14ac:dyDescent="0.25">
      <c r="A24" s="16" t="s">
        <v>9</v>
      </c>
      <c r="B24" s="21">
        <v>44541</v>
      </c>
      <c r="C24" s="16" t="s">
        <v>3</v>
      </c>
      <c r="D24" s="17">
        <v>3429</v>
      </c>
      <c r="E24" s="18">
        <v>0.61</v>
      </c>
      <c r="F24" s="19">
        <v>4.95</v>
      </c>
      <c r="G24" s="16" t="s">
        <v>83</v>
      </c>
      <c r="H24" s="20">
        <f>InputData[[#This Row],[Transacted Units]]*InputData[[#This Row],[Transacted Price (per unit)]]</f>
        <v>2091.69</v>
      </c>
      <c r="I24" s="14"/>
    </row>
    <row r="25" spans="1:9" ht="15.75" customHeight="1" x14ac:dyDescent="0.25">
      <c r="A25" s="16" t="s">
        <v>9</v>
      </c>
      <c r="B25" s="21">
        <v>43585</v>
      </c>
      <c r="C25" s="16" t="s">
        <v>2</v>
      </c>
      <c r="D25" s="17">
        <v>1600</v>
      </c>
      <c r="E25" s="18">
        <v>1.23</v>
      </c>
      <c r="F25" s="19">
        <v>19.95</v>
      </c>
      <c r="G25" s="16" t="s">
        <v>83</v>
      </c>
      <c r="H25" s="20">
        <f>InputData[[#This Row],[Transacted Units]]*InputData[[#This Row],[Transacted Price (per unit)]]</f>
        <v>1968</v>
      </c>
      <c r="I25" s="14"/>
    </row>
    <row r="26" spans="1:9" ht="15.75" customHeight="1" x14ac:dyDescent="0.25">
      <c r="A26" s="16" t="s">
        <v>10</v>
      </c>
      <c r="B26" s="21">
        <v>44419</v>
      </c>
      <c r="C26" s="16" t="s">
        <v>2</v>
      </c>
      <c r="D26" s="17">
        <v>66666</v>
      </c>
      <c r="E26" s="18">
        <v>1.4999999999999999E-2</v>
      </c>
      <c r="F26" s="19">
        <v>10</v>
      </c>
      <c r="G26" s="16" t="s">
        <v>83</v>
      </c>
      <c r="H26" s="20">
        <f>InputData[[#This Row],[Transacted Units]]*InputData[[#This Row],[Transacted Price (per unit)]]</f>
        <v>999.99</v>
      </c>
      <c r="I26" s="14"/>
    </row>
    <row r="27" spans="1:9" ht="15.75" customHeight="1" x14ac:dyDescent="0.25">
      <c r="A27" s="16" t="s">
        <v>10</v>
      </c>
      <c r="B27" s="21">
        <v>44607</v>
      </c>
      <c r="C27" s="16" t="s">
        <v>2</v>
      </c>
      <c r="D27" s="17">
        <v>222222</v>
      </c>
      <c r="E27" s="18">
        <v>8.9999999999999993E-3</v>
      </c>
      <c r="F27" s="19">
        <v>19.95</v>
      </c>
      <c r="G27" s="16" t="s">
        <v>83</v>
      </c>
      <c r="H27" s="20">
        <f>InputData[[#This Row],[Transacted Units]]*InputData[[#This Row],[Transacted Price (per unit)]]</f>
        <v>1999.9979999999998</v>
      </c>
      <c r="I27" s="14"/>
    </row>
    <row r="28" spans="1:9" ht="15.75" customHeight="1" x14ac:dyDescent="0.25">
      <c r="A28" s="16" t="s">
        <v>10</v>
      </c>
      <c r="B28" s="15">
        <v>44054</v>
      </c>
      <c r="C28" s="16" t="s">
        <v>3</v>
      </c>
      <c r="D28" s="17">
        <v>100659</v>
      </c>
      <c r="E28" s="18">
        <v>3.5000000000000003E-2</v>
      </c>
      <c r="F28" s="19">
        <v>19.95</v>
      </c>
      <c r="G28" s="16" t="s">
        <v>83</v>
      </c>
      <c r="H28" s="20">
        <f>InputData[[#This Row],[Transacted Units]]*InputData[[#This Row],[Transacted Price (per unit)]]</f>
        <v>3523.0650000000005</v>
      </c>
      <c r="I28" s="14"/>
    </row>
    <row r="29" spans="1:9" ht="15.75" customHeight="1" x14ac:dyDescent="0.25">
      <c r="A29" s="16" t="s">
        <v>10</v>
      </c>
      <c r="B29" s="15">
        <v>43902</v>
      </c>
      <c r="C29" s="16" t="s">
        <v>2</v>
      </c>
      <c r="D29" s="17">
        <v>71428</v>
      </c>
      <c r="E29" s="18">
        <v>1.4E-2</v>
      </c>
      <c r="F29" s="19">
        <v>10</v>
      </c>
      <c r="G29" s="16" t="s">
        <v>83</v>
      </c>
      <c r="H29" s="20">
        <f>InputData[[#This Row],[Transacted Units]]*InputData[[#This Row],[Transacted Price (per unit)]]</f>
        <v>999.99200000000008</v>
      </c>
      <c r="I29" s="14"/>
    </row>
    <row r="30" spans="1:9" ht="15.75" customHeight="1" x14ac:dyDescent="0.25">
      <c r="A30" s="16" t="s">
        <v>10</v>
      </c>
      <c r="B30" s="15">
        <v>43902</v>
      </c>
      <c r="C30" s="16" t="s">
        <v>2</v>
      </c>
      <c r="D30" s="17">
        <v>58880</v>
      </c>
      <c r="E30" s="18">
        <v>1.7000000000000001E-2</v>
      </c>
      <c r="F30" s="19">
        <v>10</v>
      </c>
      <c r="G30" s="16" t="s">
        <v>83</v>
      </c>
      <c r="H30" s="20">
        <f>InputData[[#This Row],[Transacted Units]]*InputData[[#This Row],[Transacted Price (per unit)]]</f>
        <v>1000.96</v>
      </c>
      <c r="I30" s="14"/>
    </row>
    <row r="31" spans="1:9" ht="15.75" customHeight="1" x14ac:dyDescent="0.25">
      <c r="A31" s="16" t="s">
        <v>10</v>
      </c>
      <c r="B31" s="15">
        <v>43790</v>
      </c>
      <c r="C31" s="16" t="s">
        <v>3</v>
      </c>
      <c r="D31" s="17">
        <v>50000</v>
      </c>
      <c r="E31" s="18">
        <v>2.5999999999999999E-2</v>
      </c>
      <c r="F31" s="19">
        <v>19.95</v>
      </c>
      <c r="G31" s="16" t="s">
        <v>83</v>
      </c>
      <c r="H31" s="20">
        <f>InputData[[#This Row],[Transacted Units]]*InputData[[#This Row],[Transacted Price (per unit)]]</f>
        <v>1300</v>
      </c>
      <c r="I31" s="14"/>
    </row>
    <row r="32" spans="1:9" ht="15.75" customHeight="1" x14ac:dyDescent="0.25">
      <c r="A32" s="16" t="s">
        <v>10</v>
      </c>
      <c r="B32" s="15">
        <v>43763</v>
      </c>
      <c r="C32" s="16" t="s">
        <v>2</v>
      </c>
      <c r="D32" s="17">
        <v>66315</v>
      </c>
      <c r="E32" s="18">
        <v>1.9E-2</v>
      </c>
      <c r="F32" s="19">
        <v>19.96</v>
      </c>
      <c r="G32" s="16" t="s">
        <v>83</v>
      </c>
      <c r="H32" s="20">
        <f>InputData[[#This Row],[Transacted Units]]*InputData[[#This Row],[Transacted Price (per unit)]]</f>
        <v>1259.9849999999999</v>
      </c>
      <c r="I32" s="14"/>
    </row>
    <row r="33" spans="1:9" ht="15.75" customHeight="1" x14ac:dyDescent="0.25">
      <c r="A33" s="16" t="s">
        <v>10</v>
      </c>
      <c r="B33" s="15">
        <v>43749</v>
      </c>
      <c r="C33" s="16" t="s">
        <v>3</v>
      </c>
      <c r="D33" s="17">
        <v>50000</v>
      </c>
      <c r="E33" s="18">
        <v>2.5999999999999999E-2</v>
      </c>
      <c r="F33" s="19">
        <v>19.95</v>
      </c>
      <c r="G33" s="16" t="s">
        <v>83</v>
      </c>
      <c r="H33" s="20">
        <f>InputData[[#This Row],[Transacted Units]]*InputData[[#This Row],[Transacted Price (per unit)]]</f>
        <v>1300</v>
      </c>
      <c r="I33" s="14"/>
    </row>
    <row r="34" spans="1:9" ht="15.75" customHeight="1" x14ac:dyDescent="0.25">
      <c r="A34" s="16" t="s">
        <v>10</v>
      </c>
      <c r="B34" s="15">
        <v>43734</v>
      </c>
      <c r="C34" s="16" t="s">
        <v>2</v>
      </c>
      <c r="D34" s="17">
        <v>30000</v>
      </c>
      <c r="E34" s="18">
        <v>0.02</v>
      </c>
      <c r="F34" s="19">
        <v>10</v>
      </c>
      <c r="G34" s="16" t="s">
        <v>83</v>
      </c>
      <c r="H34" s="20">
        <f>InputData[[#This Row],[Transacted Units]]*InputData[[#This Row],[Transacted Price (per unit)]]</f>
        <v>600</v>
      </c>
      <c r="I34" s="14"/>
    </row>
    <row r="35" spans="1:9" ht="15.75" customHeight="1" x14ac:dyDescent="0.25">
      <c r="A35" s="16" t="s">
        <v>10</v>
      </c>
      <c r="B35" s="15">
        <v>43710</v>
      </c>
      <c r="C35" s="16" t="s">
        <v>2</v>
      </c>
      <c r="D35" s="17">
        <v>35357</v>
      </c>
      <c r="E35" s="18">
        <v>2.8000000000000001E-2</v>
      </c>
      <c r="F35" s="19">
        <v>10</v>
      </c>
      <c r="G35" s="16" t="s">
        <v>83</v>
      </c>
      <c r="H35" s="20">
        <f>InputData[[#This Row],[Transacted Units]]*InputData[[#This Row],[Transacted Price (per unit)]]</f>
        <v>989.99599999999998</v>
      </c>
      <c r="I35" s="14"/>
    </row>
    <row r="36" spans="1:9" ht="15.75" customHeight="1" x14ac:dyDescent="0.25">
      <c r="A36" s="16" t="s">
        <v>10</v>
      </c>
      <c r="B36" s="15">
        <v>43742</v>
      </c>
      <c r="C36" s="16" t="s">
        <v>2</v>
      </c>
      <c r="D36" s="17">
        <v>27791</v>
      </c>
      <c r="E36" s="18">
        <v>7.1999999999999995E-2</v>
      </c>
      <c r="F36" s="19">
        <v>19.95</v>
      </c>
      <c r="G36" s="16" t="s">
        <v>83</v>
      </c>
      <c r="H36" s="20">
        <f>InputData[[#This Row],[Transacted Units]]*InputData[[#This Row],[Transacted Price (per unit)]]</f>
        <v>2000.9519999999998</v>
      </c>
      <c r="I36" s="14"/>
    </row>
    <row r="37" spans="1:9" ht="15.75" customHeight="1" x14ac:dyDescent="0.25">
      <c r="A37" s="16" t="s">
        <v>10</v>
      </c>
      <c r="B37" s="15">
        <v>43641</v>
      </c>
      <c r="C37" s="16" t="s">
        <v>2</v>
      </c>
      <c r="D37" s="17">
        <v>10888</v>
      </c>
      <c r="E37" s="18">
        <v>4.4999999999999998E-2</v>
      </c>
      <c r="F37" s="19">
        <v>10</v>
      </c>
      <c r="G37" s="16" t="s">
        <v>83</v>
      </c>
      <c r="H37" s="20">
        <f>InputData[[#This Row],[Transacted Units]]*InputData[[#This Row],[Transacted Price (per unit)]]</f>
        <v>489.96</v>
      </c>
      <c r="I37" s="14"/>
    </row>
    <row r="38" spans="1:9" ht="15.75" customHeight="1" x14ac:dyDescent="0.25">
      <c r="A38" s="16" t="s">
        <v>11</v>
      </c>
      <c r="B38" s="21">
        <v>44105</v>
      </c>
      <c r="C38" s="16" t="s">
        <v>2</v>
      </c>
      <c r="D38" s="17">
        <v>5000000</v>
      </c>
      <c r="E38" s="18">
        <v>1E-3</v>
      </c>
      <c r="F38" s="18">
        <v>19.95</v>
      </c>
      <c r="G38" s="16" t="s">
        <v>83</v>
      </c>
      <c r="H38" s="20">
        <f>InputData[[#This Row],[Transacted Units]]*InputData[[#This Row],[Transacted Price (per unit)]]</f>
        <v>5000</v>
      </c>
      <c r="I38" s="14"/>
    </row>
    <row r="39" spans="1:9" ht="15.75" customHeight="1" x14ac:dyDescent="0.25">
      <c r="A39" s="16" t="s">
        <v>11</v>
      </c>
      <c r="B39" s="21">
        <v>44217</v>
      </c>
      <c r="C39" s="16" t="s">
        <v>3</v>
      </c>
      <c r="D39" s="17">
        <v>4000000</v>
      </c>
      <c r="E39" s="18">
        <v>2E-3</v>
      </c>
      <c r="F39" s="18">
        <v>19.95</v>
      </c>
      <c r="G39" s="16" t="s">
        <v>83</v>
      </c>
      <c r="H39" s="20">
        <f>InputData[[#This Row],[Transacted Units]]*InputData[[#This Row],[Transacted Price (per unit)]]</f>
        <v>8000</v>
      </c>
      <c r="I39" s="14"/>
    </row>
    <row r="40" spans="1:9" ht="15.75" customHeight="1" x14ac:dyDescent="0.25">
      <c r="A40" s="16" t="s">
        <v>11</v>
      </c>
      <c r="B40" s="21">
        <v>44776</v>
      </c>
      <c r="C40" s="16" t="s">
        <v>3</v>
      </c>
      <c r="D40" s="17">
        <v>1000000</v>
      </c>
      <c r="E40" s="18">
        <v>2E-3</v>
      </c>
      <c r="F40" s="19">
        <v>19.95</v>
      </c>
      <c r="G40" s="16" t="s">
        <v>83</v>
      </c>
      <c r="H40" s="20">
        <f>InputData[[#This Row],[Transacted Units]]*InputData[[#This Row],[Transacted Price (per unit)]]</f>
        <v>2000</v>
      </c>
      <c r="I40" s="14"/>
    </row>
    <row r="41" spans="1:9" ht="15.75" customHeight="1" x14ac:dyDescent="0.25">
      <c r="A41" s="16" t="s">
        <v>12</v>
      </c>
      <c r="B41" s="15">
        <v>44055</v>
      </c>
      <c r="C41" s="16" t="s">
        <v>2</v>
      </c>
      <c r="D41" s="17">
        <v>671</v>
      </c>
      <c r="E41" s="18">
        <v>1.49</v>
      </c>
      <c r="F41" s="19">
        <v>10</v>
      </c>
      <c r="G41" s="16" t="s">
        <v>83</v>
      </c>
      <c r="H41" s="20">
        <f>InputData[[#This Row],[Transacted Units]]*InputData[[#This Row],[Transacted Price (per unit)]]</f>
        <v>999.79</v>
      </c>
      <c r="I41" s="14"/>
    </row>
    <row r="42" spans="1:9" ht="15.75" customHeight="1" x14ac:dyDescent="0.25">
      <c r="A42" s="16" t="s">
        <v>13</v>
      </c>
      <c r="B42" s="15">
        <v>44082</v>
      </c>
      <c r="C42" s="16" t="s">
        <v>2</v>
      </c>
      <c r="D42" s="17">
        <v>6779</v>
      </c>
      <c r="E42" s="18">
        <v>0.29499999999999998</v>
      </c>
      <c r="F42" s="19">
        <v>19.95</v>
      </c>
      <c r="G42" s="16" t="s">
        <v>83</v>
      </c>
      <c r="H42" s="20">
        <f>InputData[[#This Row],[Transacted Units]]*InputData[[#This Row],[Transacted Price (per unit)]]</f>
        <v>1999.8049999999998</v>
      </c>
      <c r="I42" s="14"/>
    </row>
    <row r="43" spans="1:9" ht="15.75" customHeight="1" x14ac:dyDescent="0.25">
      <c r="A43" s="16" t="s">
        <v>13</v>
      </c>
      <c r="B43" s="15">
        <v>44074</v>
      </c>
      <c r="C43" s="16" t="s">
        <v>2</v>
      </c>
      <c r="D43" s="17">
        <v>5555</v>
      </c>
      <c r="E43" s="18">
        <v>0.36</v>
      </c>
      <c r="F43" s="19">
        <v>19.95</v>
      </c>
      <c r="G43" s="16" t="s">
        <v>83</v>
      </c>
      <c r="H43" s="20">
        <f>InputData[[#This Row],[Transacted Units]]*InputData[[#This Row],[Transacted Price (per unit)]]</f>
        <v>1999.8</v>
      </c>
      <c r="I43" s="14"/>
    </row>
    <row r="44" spans="1:9" ht="15.75" customHeight="1" x14ac:dyDescent="0.25">
      <c r="A44" s="16" t="s">
        <v>13</v>
      </c>
      <c r="B44" s="15">
        <v>44074</v>
      </c>
      <c r="C44" s="16" t="s">
        <v>3</v>
      </c>
      <c r="D44" s="17">
        <v>12334</v>
      </c>
      <c r="E44" s="18">
        <v>0.14499999999999999</v>
      </c>
      <c r="F44" s="19">
        <v>19.95</v>
      </c>
      <c r="G44" s="16" t="s">
        <v>83</v>
      </c>
      <c r="H44" s="20">
        <f>InputData[[#This Row],[Transacted Units]]*InputData[[#This Row],[Transacted Price (per unit)]]</f>
        <v>1788.4299999999998</v>
      </c>
      <c r="I44" s="14"/>
    </row>
    <row r="45" spans="1:9" ht="15.75" customHeight="1" x14ac:dyDescent="0.25">
      <c r="A45" s="16" t="s">
        <v>14</v>
      </c>
      <c r="B45" s="15">
        <v>43913</v>
      </c>
      <c r="C45" s="16" t="s">
        <v>2</v>
      </c>
      <c r="D45" s="17">
        <v>1000000</v>
      </c>
      <c r="E45" s="18">
        <v>1E-3</v>
      </c>
      <c r="F45" s="19">
        <v>10</v>
      </c>
      <c r="G45" s="16" t="s">
        <v>83</v>
      </c>
      <c r="H45" s="20">
        <f>InputData[[#This Row],[Transacted Units]]*InputData[[#This Row],[Transacted Price (per unit)]]</f>
        <v>1000</v>
      </c>
      <c r="I45" s="14"/>
    </row>
    <row r="46" spans="1:9" ht="15.75" customHeight="1" x14ac:dyDescent="0.25">
      <c r="A46" s="16" t="s">
        <v>14</v>
      </c>
      <c r="B46" s="15">
        <v>44025</v>
      </c>
      <c r="C46" s="16" t="s">
        <v>3</v>
      </c>
      <c r="D46" s="17">
        <v>1000000</v>
      </c>
      <c r="E46" s="18">
        <v>2E-3</v>
      </c>
      <c r="F46" s="19">
        <v>19.95</v>
      </c>
      <c r="G46" s="16" t="s">
        <v>83</v>
      </c>
      <c r="H46" s="20">
        <f>InputData[[#This Row],[Transacted Units]]*InputData[[#This Row],[Transacted Price (per unit)]]</f>
        <v>2000</v>
      </c>
      <c r="I46" s="14"/>
    </row>
    <row r="47" spans="1:9" ht="15.75" customHeight="1" x14ac:dyDescent="0.25">
      <c r="A47" s="16" t="s">
        <v>15</v>
      </c>
      <c r="B47" s="15">
        <v>44034</v>
      </c>
      <c r="C47" s="16" t="s">
        <v>2</v>
      </c>
      <c r="D47" s="17">
        <v>4000</v>
      </c>
      <c r="E47" s="18">
        <v>0.25</v>
      </c>
      <c r="F47" s="19">
        <v>10</v>
      </c>
      <c r="G47" s="16" t="s">
        <v>83</v>
      </c>
      <c r="H47" s="20">
        <f>InputData[[#This Row],[Transacted Units]]*InputData[[#This Row],[Transacted Price (per unit)]]</f>
        <v>1000</v>
      </c>
      <c r="I47" s="14"/>
    </row>
    <row r="48" spans="1:9" ht="15.75" customHeight="1" x14ac:dyDescent="0.25">
      <c r="A48" s="16" t="s">
        <v>15</v>
      </c>
      <c r="B48" s="15">
        <v>44046</v>
      </c>
      <c r="C48" s="16" t="s">
        <v>3</v>
      </c>
      <c r="D48" s="17">
        <v>1690</v>
      </c>
      <c r="E48" s="18">
        <v>0.59</v>
      </c>
      <c r="F48" s="19">
        <v>10</v>
      </c>
      <c r="G48" s="16" t="s">
        <v>83</v>
      </c>
      <c r="H48" s="20">
        <f>InputData[[#This Row],[Transacted Units]]*InputData[[#This Row],[Transacted Price (per unit)]]</f>
        <v>997.09999999999991</v>
      </c>
      <c r="I48" s="14"/>
    </row>
    <row r="49" spans="1:9" ht="15.75" customHeight="1" x14ac:dyDescent="0.25">
      <c r="A49" s="16" t="s">
        <v>15</v>
      </c>
      <c r="B49" s="15">
        <v>44327</v>
      </c>
      <c r="C49" s="16" t="s">
        <v>3</v>
      </c>
      <c r="D49" s="17">
        <v>2310</v>
      </c>
      <c r="E49" s="18">
        <v>0.38</v>
      </c>
      <c r="F49" s="19">
        <v>10</v>
      </c>
      <c r="G49" s="16" t="s">
        <v>83</v>
      </c>
      <c r="H49" s="20">
        <f>InputData[[#This Row],[Transacted Units]]*InputData[[#This Row],[Transacted Price (per unit)]]</f>
        <v>877.8</v>
      </c>
      <c r="I49" s="14"/>
    </row>
    <row r="50" spans="1:9" ht="15.75" customHeight="1" x14ac:dyDescent="0.25">
      <c r="A50" s="16" t="s">
        <v>16</v>
      </c>
      <c r="B50" s="15">
        <v>44173</v>
      </c>
      <c r="C50" s="16" t="s">
        <v>2</v>
      </c>
      <c r="D50" s="17">
        <v>70</v>
      </c>
      <c r="E50" s="18">
        <v>28.097211999999999</v>
      </c>
      <c r="F50" s="19">
        <v>3.94</v>
      </c>
      <c r="G50" s="16" t="s">
        <v>83</v>
      </c>
      <c r="H50" s="20">
        <f>InputData[[#This Row],[Transacted Units]]*InputData[[#This Row],[Transacted Price (per unit)]]</f>
        <v>1966.80484</v>
      </c>
      <c r="I50" s="14"/>
    </row>
    <row r="51" spans="1:9" ht="15.75" customHeight="1" x14ac:dyDescent="0.25">
      <c r="A51" s="16" t="s">
        <v>16</v>
      </c>
      <c r="B51" s="15">
        <v>44230</v>
      </c>
      <c r="C51" s="16" t="s">
        <v>3</v>
      </c>
      <c r="D51" s="17">
        <v>70</v>
      </c>
      <c r="E51" s="18">
        <v>29.371143</v>
      </c>
      <c r="F51" s="19">
        <v>4.1100000000000003</v>
      </c>
      <c r="G51" s="16" t="s">
        <v>83</v>
      </c>
      <c r="H51" s="20">
        <f>InputData[[#This Row],[Transacted Units]]*InputData[[#This Row],[Transacted Price (per unit)]]</f>
        <v>2055.9800100000002</v>
      </c>
      <c r="I51" s="14"/>
    </row>
    <row r="52" spans="1:9" ht="15.75" customHeight="1" x14ac:dyDescent="0.25">
      <c r="A52" s="16" t="s">
        <v>17</v>
      </c>
      <c r="B52" s="15">
        <v>44245</v>
      </c>
      <c r="C52" s="16" t="s">
        <v>2</v>
      </c>
      <c r="D52" s="17">
        <v>967</v>
      </c>
      <c r="E52" s="18">
        <v>1.0349999999999999</v>
      </c>
      <c r="F52" s="19">
        <v>10.01</v>
      </c>
      <c r="G52" s="16" t="s">
        <v>83</v>
      </c>
      <c r="H52" s="20">
        <f>InputData[[#This Row],[Transacted Units]]*InputData[[#This Row],[Transacted Price (per unit)]]</f>
        <v>1000.8449999999999</v>
      </c>
      <c r="I52" s="14"/>
    </row>
    <row r="53" spans="1:9" ht="15.75" customHeight="1" x14ac:dyDescent="0.25">
      <c r="A53" s="16" t="s">
        <v>18</v>
      </c>
      <c r="B53" s="21">
        <v>44221</v>
      </c>
      <c r="C53" s="16" t="s">
        <v>2</v>
      </c>
      <c r="D53" s="17">
        <v>836</v>
      </c>
      <c r="E53" s="18">
        <v>1.1950000000000001</v>
      </c>
      <c r="F53" s="18">
        <v>10</v>
      </c>
      <c r="G53" s="16" t="s">
        <v>83</v>
      </c>
      <c r="H53" s="20">
        <f>InputData[[#This Row],[Transacted Units]]*InputData[[#This Row],[Transacted Price (per unit)]]</f>
        <v>999.0200000000001</v>
      </c>
      <c r="I53" s="14"/>
    </row>
    <row r="54" spans="1:9" ht="15.75" customHeight="1" x14ac:dyDescent="0.25">
      <c r="A54" s="16" t="s">
        <v>18</v>
      </c>
      <c r="B54" s="21">
        <v>44199</v>
      </c>
      <c r="C54" s="16" t="s">
        <v>3</v>
      </c>
      <c r="D54" s="17">
        <v>506</v>
      </c>
      <c r="E54" s="18">
        <v>1.67</v>
      </c>
      <c r="F54" s="18">
        <v>10</v>
      </c>
      <c r="G54" s="16" t="s">
        <v>83</v>
      </c>
      <c r="H54" s="20">
        <f>InputData[[#This Row],[Transacted Units]]*InputData[[#This Row],[Transacted Price (per unit)]]</f>
        <v>845.02</v>
      </c>
      <c r="I54" s="14"/>
    </row>
    <row r="55" spans="1:9" ht="15.75" customHeight="1" x14ac:dyDescent="0.25">
      <c r="A55" s="16" t="s">
        <v>18</v>
      </c>
      <c r="B55" s="21">
        <v>44505</v>
      </c>
      <c r="C55" s="16" t="s">
        <v>3</v>
      </c>
      <c r="D55" s="17">
        <v>330</v>
      </c>
      <c r="E55" s="18">
        <v>1.98</v>
      </c>
      <c r="F55" s="18">
        <v>10</v>
      </c>
      <c r="G55" s="16" t="s">
        <v>83</v>
      </c>
      <c r="H55" s="20">
        <f>InputData[[#This Row],[Transacted Units]]*InputData[[#This Row],[Transacted Price (per unit)]]</f>
        <v>653.4</v>
      </c>
      <c r="I55" s="14"/>
    </row>
    <row r="56" spans="1:9" ht="15.75" customHeight="1" x14ac:dyDescent="0.25">
      <c r="A56" s="16" t="s">
        <v>19</v>
      </c>
      <c r="B56" s="15">
        <v>44244</v>
      </c>
      <c r="C56" s="16" t="s">
        <v>2</v>
      </c>
      <c r="D56" s="17">
        <v>1851</v>
      </c>
      <c r="E56" s="18">
        <v>0.54</v>
      </c>
      <c r="F56" s="19">
        <v>10</v>
      </c>
      <c r="G56" s="16" t="s">
        <v>83</v>
      </c>
      <c r="H56" s="20">
        <f>InputData[[#This Row],[Transacted Units]]*InputData[[#This Row],[Transacted Price (per unit)]]</f>
        <v>999.54000000000008</v>
      </c>
      <c r="I56" s="14"/>
    </row>
    <row r="57" spans="1:9" ht="15.75" customHeight="1" x14ac:dyDescent="0.25">
      <c r="A57" s="16" t="s">
        <v>20</v>
      </c>
      <c r="B57" s="15">
        <v>44243</v>
      </c>
      <c r="C57" s="16" t="s">
        <v>2</v>
      </c>
      <c r="D57" s="17">
        <v>26315</v>
      </c>
      <c r="E57" s="18">
        <v>3.7999999999999999E-2</v>
      </c>
      <c r="F57" s="19">
        <v>10</v>
      </c>
      <c r="G57" s="16" t="s">
        <v>83</v>
      </c>
      <c r="H57" s="20">
        <f>InputData[[#This Row],[Transacted Units]]*InputData[[#This Row],[Transacted Price (per unit)]]</f>
        <v>999.97</v>
      </c>
      <c r="I57" s="14"/>
    </row>
    <row r="58" spans="1:9" ht="15.75" customHeight="1" x14ac:dyDescent="0.25">
      <c r="A58" s="16" t="s">
        <v>21</v>
      </c>
      <c r="B58" s="15">
        <v>44242</v>
      </c>
      <c r="C58" s="16" t="s">
        <v>2</v>
      </c>
      <c r="D58" s="17">
        <v>34</v>
      </c>
      <c r="E58" s="18">
        <v>28.69</v>
      </c>
      <c r="F58" s="19">
        <v>10</v>
      </c>
      <c r="G58" s="16" t="s">
        <v>83</v>
      </c>
      <c r="H58" s="20">
        <f>InputData[[#This Row],[Transacted Units]]*InputData[[#This Row],[Transacted Price (per unit)]]</f>
        <v>975.46</v>
      </c>
      <c r="I58" s="14"/>
    </row>
    <row r="59" spans="1:9" ht="15.75" customHeight="1" x14ac:dyDescent="0.25">
      <c r="A59" s="16" t="s">
        <v>21</v>
      </c>
      <c r="B59" s="15">
        <v>44284</v>
      </c>
      <c r="C59" s="16" t="s">
        <v>3</v>
      </c>
      <c r="D59" s="17">
        <v>34</v>
      </c>
      <c r="E59" s="18">
        <v>29.14</v>
      </c>
      <c r="F59" s="19">
        <v>10</v>
      </c>
      <c r="G59" s="16" t="s">
        <v>83</v>
      </c>
      <c r="H59" s="20">
        <f>InputData[[#This Row],[Transacted Units]]*InputData[[#This Row],[Transacted Price (per unit)]]</f>
        <v>990.76</v>
      </c>
      <c r="I59" s="14"/>
    </row>
    <row r="60" spans="1:9" ht="15.75" customHeight="1" x14ac:dyDescent="0.25">
      <c r="A60" s="16" t="s">
        <v>22</v>
      </c>
      <c r="B60" s="15">
        <v>44221</v>
      </c>
      <c r="C60" s="16" t="s">
        <v>2</v>
      </c>
      <c r="D60" s="17">
        <v>8108</v>
      </c>
      <c r="E60" s="18">
        <v>0.37</v>
      </c>
      <c r="F60" s="19">
        <v>19.95</v>
      </c>
      <c r="G60" s="16" t="s">
        <v>83</v>
      </c>
      <c r="H60" s="20">
        <f>InputData[[#This Row],[Transacted Units]]*InputData[[#This Row],[Transacted Price (per unit)]]</f>
        <v>2999.96</v>
      </c>
      <c r="I60" s="14"/>
    </row>
    <row r="61" spans="1:9" ht="15.75" customHeight="1" x14ac:dyDescent="0.25">
      <c r="A61" s="16" t="s">
        <v>22</v>
      </c>
      <c r="B61" s="15">
        <v>44161</v>
      </c>
      <c r="C61" s="16" t="s">
        <v>2</v>
      </c>
      <c r="D61" s="17">
        <v>5128</v>
      </c>
      <c r="E61" s="18">
        <v>0.39</v>
      </c>
      <c r="F61" s="19">
        <v>19.95</v>
      </c>
      <c r="G61" s="16" t="s">
        <v>83</v>
      </c>
      <c r="H61" s="20">
        <f>InputData[[#This Row],[Transacted Units]]*InputData[[#This Row],[Transacted Price (per unit)]]</f>
        <v>1999.92</v>
      </c>
      <c r="I61" s="14"/>
    </row>
    <row r="62" spans="1:9" ht="15.75" customHeight="1" x14ac:dyDescent="0.25">
      <c r="A62" s="16" t="s">
        <v>22</v>
      </c>
      <c r="B62" s="21">
        <v>44523</v>
      </c>
      <c r="C62" s="16" t="s">
        <v>3</v>
      </c>
      <c r="D62" s="17">
        <v>13236</v>
      </c>
      <c r="E62" s="18">
        <v>0.2</v>
      </c>
      <c r="F62" s="19">
        <v>19.95</v>
      </c>
      <c r="G62" s="16" t="s">
        <v>83</v>
      </c>
      <c r="H62" s="20">
        <f>InputData[[#This Row],[Transacted Units]]*InputData[[#This Row],[Transacted Price (per unit)]]</f>
        <v>2647.2000000000003</v>
      </c>
      <c r="I62" s="14"/>
    </row>
    <row r="63" spans="1:9" ht="15.75" customHeight="1" x14ac:dyDescent="0.25">
      <c r="A63" s="16" t="s">
        <v>23</v>
      </c>
      <c r="B63" s="15">
        <v>44243</v>
      </c>
      <c r="C63" s="16" t="s">
        <v>2</v>
      </c>
      <c r="D63" s="17">
        <v>23809</v>
      </c>
      <c r="E63" s="18">
        <v>4.2000000000000003E-2</v>
      </c>
      <c r="F63" s="19">
        <v>10.02</v>
      </c>
      <c r="G63" s="16" t="s">
        <v>83</v>
      </c>
      <c r="H63" s="20">
        <f>InputData[[#This Row],[Transacted Units]]*InputData[[#This Row],[Transacted Price (per unit)]]</f>
        <v>999.97800000000007</v>
      </c>
      <c r="I63" s="14"/>
    </row>
    <row r="64" spans="1:9" ht="15.75" customHeight="1" x14ac:dyDescent="0.25">
      <c r="A64" s="16" t="s">
        <v>23</v>
      </c>
      <c r="B64" s="21">
        <v>44419</v>
      </c>
      <c r="C64" s="16" t="s">
        <v>3</v>
      </c>
      <c r="D64" s="17">
        <v>8199</v>
      </c>
      <c r="E64" s="18">
        <v>5.6000000000000001E-2</v>
      </c>
      <c r="F64" s="18">
        <v>10</v>
      </c>
      <c r="G64" s="16" t="s">
        <v>83</v>
      </c>
      <c r="H64" s="20">
        <f>InputData[[#This Row],[Transacted Units]]*InputData[[#This Row],[Transacted Price (per unit)]]</f>
        <v>459.14400000000001</v>
      </c>
      <c r="I64" s="14"/>
    </row>
    <row r="65" spans="1:9" ht="15.75" customHeight="1" x14ac:dyDescent="0.25">
      <c r="A65" s="16" t="s">
        <v>23</v>
      </c>
      <c r="B65" s="15">
        <v>44312</v>
      </c>
      <c r="C65" s="16" t="s">
        <v>3</v>
      </c>
      <c r="D65" s="17">
        <v>15610</v>
      </c>
      <c r="E65" s="18">
        <v>6.2E-2</v>
      </c>
      <c r="F65" s="19">
        <v>10</v>
      </c>
      <c r="G65" s="16" t="s">
        <v>83</v>
      </c>
      <c r="H65" s="20">
        <f>InputData[[#This Row],[Transacted Units]]*InputData[[#This Row],[Transacted Price (per unit)]]</f>
        <v>967.81999999999994</v>
      </c>
      <c r="I65" s="14"/>
    </row>
    <row r="66" spans="1:9" ht="15.75" customHeight="1" x14ac:dyDescent="0.25">
      <c r="A66" s="16" t="s">
        <v>24</v>
      </c>
      <c r="B66" s="15">
        <v>44102</v>
      </c>
      <c r="C66" s="16" t="s">
        <v>2</v>
      </c>
      <c r="D66" s="17">
        <v>1500000</v>
      </c>
      <c r="E66" s="18">
        <v>2E-3</v>
      </c>
      <c r="F66" s="19">
        <v>19.95</v>
      </c>
      <c r="G66" s="16" t="s">
        <v>83</v>
      </c>
      <c r="H66" s="20">
        <f>InputData[[#This Row],[Transacted Units]]*InputData[[#This Row],[Transacted Price (per unit)]]</f>
        <v>3000</v>
      </c>
      <c r="I66" s="14"/>
    </row>
    <row r="67" spans="1:9" ht="15.75" customHeight="1" x14ac:dyDescent="0.25">
      <c r="A67" s="16" t="s">
        <v>24</v>
      </c>
      <c r="B67" s="21">
        <v>44326</v>
      </c>
      <c r="C67" s="16" t="s">
        <v>3</v>
      </c>
      <c r="D67" s="17">
        <v>1000000</v>
      </c>
      <c r="E67" s="18">
        <v>3.0000000000000001E-3</v>
      </c>
      <c r="F67" s="18">
        <v>19.95</v>
      </c>
      <c r="G67" s="16" t="s">
        <v>83</v>
      </c>
      <c r="H67" s="20">
        <f>InputData[[#This Row],[Transacted Units]]*InputData[[#This Row],[Transacted Price (per unit)]]</f>
        <v>3000</v>
      </c>
      <c r="I67" s="14"/>
    </row>
    <row r="68" spans="1:9" ht="15.75" customHeight="1" x14ac:dyDescent="0.25">
      <c r="A68" s="16" t="s">
        <v>25</v>
      </c>
      <c r="B68" s="21">
        <v>43345</v>
      </c>
      <c r="C68" s="16" t="s">
        <v>2</v>
      </c>
      <c r="D68" s="22">
        <v>26</v>
      </c>
      <c r="E68" s="18">
        <v>75.8</v>
      </c>
      <c r="F68" s="18">
        <v>19.95</v>
      </c>
      <c r="G68" s="16" t="s">
        <v>83</v>
      </c>
      <c r="H68" s="20">
        <f>InputData[[#This Row],[Transacted Units]]*InputData[[#This Row],[Transacted Price (per unit)]]</f>
        <v>1970.8</v>
      </c>
      <c r="I68" s="14"/>
    </row>
    <row r="69" spans="1:9" ht="15.75" customHeight="1" x14ac:dyDescent="0.25">
      <c r="A69" s="16" t="s">
        <v>25</v>
      </c>
      <c r="B69" s="21">
        <v>43584</v>
      </c>
      <c r="C69" s="16" t="s">
        <v>3</v>
      </c>
      <c r="D69" s="22">
        <v>26</v>
      </c>
      <c r="E69" s="18">
        <v>75</v>
      </c>
      <c r="F69" s="18">
        <v>19.95</v>
      </c>
      <c r="G69" s="16" t="s">
        <v>83</v>
      </c>
      <c r="H69" s="20">
        <f>InputData[[#This Row],[Transacted Units]]*InputData[[#This Row],[Transacted Price (per unit)]]</f>
        <v>1950</v>
      </c>
      <c r="I69" s="14"/>
    </row>
    <row r="70" spans="1:9" ht="15.75" customHeight="1" x14ac:dyDescent="0.25">
      <c r="A70" s="23" t="s">
        <v>27</v>
      </c>
      <c r="B70" s="15">
        <v>44502</v>
      </c>
      <c r="C70" s="23" t="s">
        <v>4</v>
      </c>
      <c r="D70" s="22">
        <v>381.9</v>
      </c>
      <c r="E70" s="19">
        <v>2.6190000000000002</v>
      </c>
      <c r="F70" s="19">
        <v>0.38190000000000002</v>
      </c>
      <c r="G70" s="16" t="s">
        <v>80</v>
      </c>
      <c r="H70" s="20">
        <f>InputData[[#This Row],[Transacted Units]]*InputData[[#This Row],[Transacted Price (per unit)]]</f>
        <v>1000.1961</v>
      </c>
      <c r="I70" s="14"/>
    </row>
    <row r="71" spans="1:9" ht="15.75" customHeight="1" x14ac:dyDescent="0.25">
      <c r="A71" s="23" t="s">
        <v>27</v>
      </c>
      <c r="B71" s="15">
        <v>44517</v>
      </c>
      <c r="C71" s="23" t="s">
        <v>4</v>
      </c>
      <c r="D71" s="22">
        <v>394.4</v>
      </c>
      <c r="E71" s="19">
        <v>2.5350000000000001</v>
      </c>
      <c r="F71" s="19">
        <v>0.39439999999999997</v>
      </c>
      <c r="G71" s="16" t="s">
        <v>80</v>
      </c>
      <c r="H71" s="20">
        <f>InputData[[#This Row],[Transacted Units]]*InputData[[#This Row],[Transacted Price (per unit)]]</f>
        <v>999.80399999999997</v>
      </c>
      <c r="I71" s="14"/>
    </row>
    <row r="72" spans="1:9" ht="15.75" customHeight="1" x14ac:dyDescent="0.25">
      <c r="A72" s="23" t="s">
        <v>27</v>
      </c>
      <c r="B72" s="15">
        <v>44523</v>
      </c>
      <c r="C72" s="23" t="s">
        <v>4</v>
      </c>
      <c r="D72" s="22">
        <v>408.2</v>
      </c>
      <c r="E72" s="19">
        <v>2.4500000000000002</v>
      </c>
      <c r="F72" s="19">
        <v>0.40820000000000001</v>
      </c>
      <c r="G72" s="16" t="s">
        <v>80</v>
      </c>
      <c r="H72" s="20">
        <f>InputData[[#This Row],[Transacted Units]]*InputData[[#This Row],[Transacted Price (per unit)]]</f>
        <v>1000.09</v>
      </c>
      <c r="I72" s="14"/>
    </row>
    <row r="73" spans="1:9" ht="15.75" customHeight="1" x14ac:dyDescent="0.25">
      <c r="A73" s="23" t="s">
        <v>27</v>
      </c>
      <c r="B73" s="15">
        <v>44524</v>
      </c>
      <c r="C73" s="23" t="s">
        <v>4</v>
      </c>
      <c r="D73" s="22">
        <v>416.7</v>
      </c>
      <c r="E73" s="19">
        <v>2.4</v>
      </c>
      <c r="F73" s="19">
        <v>0.41670000000000001</v>
      </c>
      <c r="G73" s="16" t="s">
        <v>80</v>
      </c>
      <c r="H73" s="20">
        <f>InputData[[#This Row],[Transacted Units]]*InputData[[#This Row],[Transacted Price (per unit)]]</f>
        <v>1000.0799999999999</v>
      </c>
      <c r="I73" s="14"/>
    </row>
    <row r="74" spans="1:9" ht="15.75" customHeight="1" x14ac:dyDescent="0.25">
      <c r="A74" s="23" t="s">
        <v>27</v>
      </c>
      <c r="B74" s="15">
        <v>44524</v>
      </c>
      <c r="C74" s="23" t="s">
        <v>4</v>
      </c>
      <c r="D74" s="22">
        <v>498.8</v>
      </c>
      <c r="E74" s="19">
        <v>2.25</v>
      </c>
      <c r="F74" s="19">
        <v>0.49880000000000002</v>
      </c>
      <c r="G74" s="16" t="s">
        <v>80</v>
      </c>
      <c r="H74" s="20">
        <f>InputData[[#This Row],[Transacted Units]]*InputData[[#This Row],[Transacted Price (per unit)]]</f>
        <v>1122.3</v>
      </c>
      <c r="I74" s="14"/>
    </row>
    <row r="75" spans="1:9" ht="15.75" customHeight="1" x14ac:dyDescent="0.25">
      <c r="A75" s="23" t="s">
        <v>27</v>
      </c>
      <c r="B75" s="15">
        <v>44524</v>
      </c>
      <c r="C75" s="23" t="s">
        <v>4</v>
      </c>
      <c r="D75" s="22">
        <v>167.7</v>
      </c>
      <c r="E75" s="19">
        <v>2.25</v>
      </c>
      <c r="F75" s="19">
        <v>0.16769999999999999</v>
      </c>
      <c r="G75" s="16" t="s">
        <v>80</v>
      </c>
      <c r="H75" s="20">
        <f>InputData[[#This Row],[Transacted Units]]*InputData[[#This Row],[Transacted Price (per unit)]]</f>
        <v>377.32499999999999</v>
      </c>
      <c r="I75" s="14"/>
    </row>
    <row r="76" spans="1:9" ht="15.75" customHeight="1" x14ac:dyDescent="0.25">
      <c r="A76" s="23" t="s">
        <v>27</v>
      </c>
      <c r="B76" s="15">
        <v>44534</v>
      </c>
      <c r="C76" s="23" t="s">
        <v>4</v>
      </c>
      <c r="D76" s="22">
        <v>467.5</v>
      </c>
      <c r="E76" s="19">
        <v>2.14</v>
      </c>
      <c r="F76" s="19">
        <v>0.46750000000000003</v>
      </c>
      <c r="G76" s="16" t="s">
        <v>80</v>
      </c>
      <c r="H76" s="20">
        <f>InputData[[#This Row],[Transacted Units]]*InputData[[#This Row],[Transacted Price (per unit)]]</f>
        <v>1000.45</v>
      </c>
      <c r="I76" s="14"/>
    </row>
    <row r="77" spans="1:9" ht="15.75" customHeight="1" x14ac:dyDescent="0.25">
      <c r="A77" s="23" t="s">
        <v>27</v>
      </c>
      <c r="B77" s="15">
        <v>44534</v>
      </c>
      <c r="C77" s="23" t="s">
        <v>4</v>
      </c>
      <c r="D77" s="22">
        <v>253.5</v>
      </c>
      <c r="E77" s="19">
        <v>1.978</v>
      </c>
      <c r="F77" s="19">
        <v>0.2535</v>
      </c>
      <c r="G77" s="16" t="s">
        <v>80</v>
      </c>
      <c r="H77" s="20">
        <f>InputData[[#This Row],[Transacted Units]]*InputData[[#This Row],[Transacted Price (per unit)]]</f>
        <v>501.423</v>
      </c>
      <c r="I77" s="14"/>
    </row>
    <row r="78" spans="1:9" ht="15.75" customHeight="1" x14ac:dyDescent="0.25">
      <c r="A78" s="16" t="s">
        <v>27</v>
      </c>
      <c r="B78" s="21">
        <v>44978</v>
      </c>
      <c r="C78" s="16" t="s">
        <v>2</v>
      </c>
      <c r="D78" s="17">
        <v>189</v>
      </c>
      <c r="E78" s="18">
        <v>1.58</v>
      </c>
      <c r="F78" s="18">
        <v>0.29988399999999998</v>
      </c>
      <c r="G78" s="16" t="s">
        <v>80</v>
      </c>
      <c r="H78" s="20">
        <f>InputData[[#This Row],[Transacted Units]]*InputData[[#This Row],[Transacted Price (per unit)]]</f>
        <v>298.62</v>
      </c>
      <c r="I78" s="14"/>
    </row>
    <row r="79" spans="1:9" ht="15.75" customHeight="1" x14ac:dyDescent="0.25">
      <c r="A79" s="16" t="s">
        <v>27</v>
      </c>
      <c r="B79" s="21">
        <v>44612</v>
      </c>
      <c r="C79" s="16" t="s">
        <v>2</v>
      </c>
      <c r="D79" s="17">
        <v>226</v>
      </c>
      <c r="E79" s="18">
        <v>1.327</v>
      </c>
      <c r="F79" s="18">
        <v>0.299902</v>
      </c>
      <c r="G79" s="16" t="s">
        <v>80</v>
      </c>
      <c r="H79" s="20">
        <f>InputData[[#This Row],[Transacted Units]]*InputData[[#This Row],[Transacted Price (per unit)]]</f>
        <v>299.90199999999999</v>
      </c>
      <c r="I79" s="14"/>
    </row>
    <row r="80" spans="1:9" ht="15.75" customHeight="1" x14ac:dyDescent="0.25">
      <c r="A80" s="16" t="s">
        <v>27</v>
      </c>
      <c r="B80" s="21">
        <v>44611</v>
      </c>
      <c r="C80" s="16" t="s">
        <v>2</v>
      </c>
      <c r="D80" s="17">
        <v>210</v>
      </c>
      <c r="E80" s="18">
        <v>1.4</v>
      </c>
      <c r="F80" s="18">
        <v>0.29399999999999998</v>
      </c>
      <c r="G80" s="16" t="s">
        <v>80</v>
      </c>
      <c r="H80" s="20">
        <f>InputData[[#This Row],[Transacted Units]]*InputData[[#This Row],[Transacted Price (per unit)]]</f>
        <v>294</v>
      </c>
      <c r="I80" s="14"/>
    </row>
    <row r="81" spans="1:9" ht="15.75" customHeight="1" x14ac:dyDescent="0.25">
      <c r="A81" s="16" t="s">
        <v>28</v>
      </c>
      <c r="B81" s="21">
        <v>44582</v>
      </c>
      <c r="C81" s="16" t="s">
        <v>4</v>
      </c>
      <c r="D81" s="22">
        <v>26.56</v>
      </c>
      <c r="E81" s="18">
        <v>90</v>
      </c>
      <c r="F81" s="18">
        <v>3.04974E-3</v>
      </c>
      <c r="G81" s="16" t="s">
        <v>80</v>
      </c>
      <c r="H81" s="20">
        <f>InputData[[#This Row],[Transacted Units]]*InputData[[#This Row],[Transacted Price (per unit)]]</f>
        <v>2390.4</v>
      </c>
      <c r="I81" s="14"/>
    </row>
    <row r="82" spans="1:9" ht="15.75" customHeight="1" x14ac:dyDescent="0.25">
      <c r="A82" s="16" t="s">
        <v>28</v>
      </c>
      <c r="B82" s="21">
        <v>44582</v>
      </c>
      <c r="C82" s="16" t="s">
        <v>4</v>
      </c>
      <c r="D82" s="22">
        <v>0.52</v>
      </c>
      <c r="E82" s="18">
        <v>90</v>
      </c>
      <c r="F82" s="18">
        <v>5.9700000000000001E-5</v>
      </c>
      <c r="G82" s="16" t="s">
        <v>80</v>
      </c>
      <c r="H82" s="20">
        <f>InputData[[#This Row],[Transacted Units]]*InputData[[#This Row],[Transacted Price (per unit)]]</f>
        <v>46.800000000000004</v>
      </c>
      <c r="I82" s="14"/>
    </row>
    <row r="83" spans="1:9" ht="15.75" customHeight="1" x14ac:dyDescent="0.25">
      <c r="A83" s="16" t="s">
        <v>28</v>
      </c>
      <c r="B83" s="21">
        <v>44582</v>
      </c>
      <c r="C83" s="16" t="s">
        <v>4</v>
      </c>
      <c r="D83" s="22">
        <v>1.62</v>
      </c>
      <c r="E83" s="18">
        <v>90</v>
      </c>
      <c r="F83" s="18">
        <v>1.8600999999999999E-4</v>
      </c>
      <c r="G83" s="16" t="s">
        <v>80</v>
      </c>
      <c r="H83" s="20">
        <f>InputData[[#This Row],[Transacted Units]]*InputData[[#This Row],[Transacted Price (per unit)]]</f>
        <v>145.80000000000001</v>
      </c>
      <c r="I83" s="14"/>
    </row>
    <row r="84" spans="1:9" ht="15.75" customHeight="1" x14ac:dyDescent="0.25">
      <c r="A84" s="16" t="s">
        <v>28</v>
      </c>
      <c r="B84" s="21">
        <v>44582</v>
      </c>
      <c r="C84" s="16" t="s">
        <v>4</v>
      </c>
      <c r="D84" s="22">
        <v>4.63</v>
      </c>
      <c r="E84" s="18">
        <v>90</v>
      </c>
      <c r="F84" s="18">
        <v>5.3162999999999995E-4</v>
      </c>
      <c r="G84" s="16" t="s">
        <v>80</v>
      </c>
      <c r="H84" s="20">
        <f>InputData[[#This Row],[Transacted Units]]*InputData[[#This Row],[Transacted Price (per unit)]]</f>
        <v>416.7</v>
      </c>
      <c r="I84" s="14"/>
    </row>
    <row r="85" spans="1:9" ht="15.75" customHeight="1" x14ac:dyDescent="0.25">
      <c r="A85" s="16" t="s">
        <v>28</v>
      </c>
      <c r="B85" s="21">
        <v>44571</v>
      </c>
      <c r="C85" s="16" t="s">
        <v>4</v>
      </c>
      <c r="D85" s="22">
        <v>5</v>
      </c>
      <c r="E85" s="18">
        <v>98.79</v>
      </c>
      <c r="F85" s="18">
        <v>5.0000000000000001E-3</v>
      </c>
      <c r="G85" s="16" t="s">
        <v>80</v>
      </c>
      <c r="H85" s="20">
        <f>InputData[[#This Row],[Transacted Units]]*InputData[[#This Row],[Transacted Price (per unit)]]</f>
        <v>493.95000000000005</v>
      </c>
      <c r="I85" s="14"/>
    </row>
    <row r="86" spans="1:9" ht="15.75" customHeight="1" x14ac:dyDescent="0.25">
      <c r="A86" s="16" t="s">
        <v>28</v>
      </c>
      <c r="B86" s="21">
        <v>44571</v>
      </c>
      <c r="C86" s="16" t="s">
        <v>4</v>
      </c>
      <c r="D86" s="22">
        <v>5.17</v>
      </c>
      <c r="E86" s="18">
        <v>99.02</v>
      </c>
      <c r="F86" s="18">
        <v>5.1700000000000001E-3</v>
      </c>
      <c r="G86" s="16" t="s">
        <v>80</v>
      </c>
      <c r="H86" s="20">
        <f>InputData[[#This Row],[Transacted Units]]*InputData[[#This Row],[Transacted Price (per unit)]]</f>
        <v>511.93339999999995</v>
      </c>
      <c r="I86" s="14"/>
    </row>
    <row r="87" spans="1:9" ht="15.75" customHeight="1" x14ac:dyDescent="0.25">
      <c r="A87" s="16" t="s">
        <v>28</v>
      </c>
      <c r="B87" s="21">
        <v>44571</v>
      </c>
      <c r="C87" s="16" t="s">
        <v>4</v>
      </c>
      <c r="D87" s="22">
        <v>5.77</v>
      </c>
      <c r="E87" s="18">
        <v>99.02</v>
      </c>
      <c r="F87" s="18">
        <v>7.0494000000000004E-4</v>
      </c>
      <c r="G87" s="16" t="s">
        <v>80</v>
      </c>
      <c r="H87" s="20">
        <f>InputData[[#This Row],[Transacted Units]]*InputData[[#This Row],[Transacted Price (per unit)]]</f>
        <v>571.34539999999993</v>
      </c>
      <c r="I87" s="14"/>
    </row>
    <row r="88" spans="1:9" ht="15.75" customHeight="1" x14ac:dyDescent="0.25">
      <c r="A88" s="16" t="s">
        <v>28</v>
      </c>
      <c r="B88" s="21">
        <v>44571</v>
      </c>
      <c r="C88" s="16" t="s">
        <v>4</v>
      </c>
      <c r="D88" s="22">
        <v>3.3</v>
      </c>
      <c r="E88" s="18">
        <v>99.02</v>
      </c>
      <c r="F88" s="18">
        <v>4.0317E-4</v>
      </c>
      <c r="G88" s="16" t="s">
        <v>80</v>
      </c>
      <c r="H88" s="20">
        <f>InputData[[#This Row],[Transacted Units]]*InputData[[#This Row],[Transacted Price (per unit)]]</f>
        <v>326.76599999999996</v>
      </c>
      <c r="I88" s="14"/>
    </row>
    <row r="89" spans="1:9" ht="15.75" customHeight="1" x14ac:dyDescent="0.25">
      <c r="A89" s="16" t="s">
        <v>28</v>
      </c>
      <c r="B89" s="21">
        <v>44571</v>
      </c>
      <c r="C89" s="16" t="s">
        <v>4</v>
      </c>
      <c r="D89" s="22">
        <v>1.1200000000000001</v>
      </c>
      <c r="E89" s="18">
        <v>99.02</v>
      </c>
      <c r="F89" s="18">
        <v>1.3683E-4</v>
      </c>
      <c r="G89" s="16" t="s">
        <v>80</v>
      </c>
      <c r="H89" s="20">
        <f>InputData[[#This Row],[Transacted Units]]*InputData[[#This Row],[Transacted Price (per unit)]]</f>
        <v>110.9024</v>
      </c>
      <c r="I89" s="14"/>
    </row>
    <row r="90" spans="1:9" ht="15.75" customHeight="1" x14ac:dyDescent="0.25">
      <c r="A90" s="16" t="s">
        <v>28</v>
      </c>
      <c r="B90" s="21">
        <v>44571</v>
      </c>
      <c r="C90" s="16" t="s">
        <v>4</v>
      </c>
      <c r="D90" s="22">
        <v>21.99</v>
      </c>
      <c r="E90" s="18">
        <v>99.02</v>
      </c>
      <c r="F90" s="18">
        <v>2.1989999999999999E-2</v>
      </c>
      <c r="G90" s="16" t="s">
        <v>80</v>
      </c>
      <c r="H90" s="20">
        <f>InputData[[#This Row],[Transacted Units]]*InputData[[#This Row],[Transacted Price (per unit)]]</f>
        <v>2177.4497999999999</v>
      </c>
      <c r="I90" s="14"/>
    </row>
    <row r="91" spans="1:9" ht="15.75" customHeight="1" x14ac:dyDescent="0.25">
      <c r="A91" s="16" t="s">
        <v>28</v>
      </c>
      <c r="B91" s="21">
        <v>44571</v>
      </c>
      <c r="C91" s="16" t="s">
        <v>4</v>
      </c>
      <c r="D91" s="22">
        <v>1.58</v>
      </c>
      <c r="E91" s="18">
        <v>99.02</v>
      </c>
      <c r="F91" s="18">
        <v>1.9302999999999999E-4</v>
      </c>
      <c r="G91" s="16" t="s">
        <v>80</v>
      </c>
      <c r="H91" s="20">
        <f>InputData[[#This Row],[Transacted Units]]*InputData[[#This Row],[Transacted Price (per unit)]]</f>
        <v>156.45160000000001</v>
      </c>
      <c r="I91" s="14"/>
    </row>
    <row r="92" spans="1:9" ht="15.75" customHeight="1" x14ac:dyDescent="0.25">
      <c r="A92" s="16" t="s">
        <v>28</v>
      </c>
      <c r="B92" s="21">
        <v>44571</v>
      </c>
      <c r="C92" s="16" t="s">
        <v>4</v>
      </c>
      <c r="D92" s="22">
        <v>1.53</v>
      </c>
      <c r="E92" s="18">
        <v>99.02</v>
      </c>
      <c r="F92" s="18">
        <v>1.8692000000000001E-4</v>
      </c>
      <c r="G92" s="16" t="s">
        <v>80</v>
      </c>
      <c r="H92" s="20">
        <f>InputData[[#This Row],[Transacted Units]]*InputData[[#This Row],[Transacted Price (per unit)]]</f>
        <v>151.50059999999999</v>
      </c>
      <c r="I92" s="14"/>
    </row>
    <row r="93" spans="1:9" ht="15.75" customHeight="1" x14ac:dyDescent="0.25">
      <c r="A93" s="16" t="s">
        <v>28</v>
      </c>
      <c r="B93" s="21">
        <v>44571</v>
      </c>
      <c r="C93" s="16" t="s">
        <v>4</v>
      </c>
      <c r="D93" s="22">
        <v>5</v>
      </c>
      <c r="E93" s="18">
        <v>99.84</v>
      </c>
      <c r="F93" s="18">
        <v>5.0000000000000001E-3</v>
      </c>
      <c r="G93" s="16" t="s">
        <v>80</v>
      </c>
      <c r="H93" s="20">
        <f>InputData[[#This Row],[Transacted Units]]*InputData[[#This Row],[Transacted Price (per unit)]]</f>
        <v>499.20000000000005</v>
      </c>
      <c r="I93" s="14"/>
    </row>
    <row r="94" spans="1:9" ht="15.75" customHeight="1" x14ac:dyDescent="0.25">
      <c r="A94" s="16" t="s">
        <v>28</v>
      </c>
      <c r="B94" s="21">
        <v>44567</v>
      </c>
      <c r="C94" s="16" t="s">
        <v>4</v>
      </c>
      <c r="D94" s="22">
        <v>9.09</v>
      </c>
      <c r="E94" s="18">
        <v>110</v>
      </c>
      <c r="F94" s="18">
        <v>9.0900000000000009E-3</v>
      </c>
      <c r="G94" s="16" t="s">
        <v>80</v>
      </c>
      <c r="H94" s="20">
        <f>InputData[[#This Row],[Transacted Units]]*InputData[[#This Row],[Transacted Price (per unit)]]</f>
        <v>999.9</v>
      </c>
      <c r="I94" s="14"/>
    </row>
    <row r="95" spans="1:9" ht="15.75" customHeight="1" x14ac:dyDescent="0.25">
      <c r="A95" s="16" t="s">
        <v>28</v>
      </c>
      <c r="B95" s="21">
        <v>44566</v>
      </c>
      <c r="C95" s="16" t="s">
        <v>4</v>
      </c>
      <c r="D95" s="22">
        <v>1.61</v>
      </c>
      <c r="E95" s="18">
        <v>110</v>
      </c>
      <c r="F95" s="18">
        <v>1.6100000000000001E-3</v>
      </c>
      <c r="G95" s="16" t="s">
        <v>80</v>
      </c>
      <c r="H95" s="20">
        <f>InputData[[#This Row],[Transacted Units]]*InputData[[#This Row],[Transacted Price (per unit)]]</f>
        <v>177.10000000000002</v>
      </c>
      <c r="I95" s="14"/>
    </row>
    <row r="96" spans="1:9" ht="15.75" customHeight="1" x14ac:dyDescent="0.25">
      <c r="A96" s="16" t="s">
        <v>28</v>
      </c>
      <c r="B96" s="21">
        <v>44566</v>
      </c>
      <c r="C96" s="16" t="s">
        <v>4</v>
      </c>
      <c r="D96" s="22">
        <v>0.11</v>
      </c>
      <c r="E96" s="18">
        <v>110</v>
      </c>
      <c r="F96" s="18">
        <v>1.1E-4</v>
      </c>
      <c r="G96" s="16" t="s">
        <v>80</v>
      </c>
      <c r="H96" s="20">
        <f>InputData[[#This Row],[Transacted Units]]*InputData[[#This Row],[Transacted Price (per unit)]]</f>
        <v>12.1</v>
      </c>
      <c r="I96" s="14"/>
    </row>
    <row r="97" spans="1:9" ht="15.75" customHeight="1" x14ac:dyDescent="0.25">
      <c r="A97" s="16" t="s">
        <v>28</v>
      </c>
      <c r="B97" s="21">
        <v>44566</v>
      </c>
      <c r="C97" s="16" t="s">
        <v>4</v>
      </c>
      <c r="D97" s="22">
        <v>16.46</v>
      </c>
      <c r="E97" s="18">
        <v>110</v>
      </c>
      <c r="F97" s="18">
        <v>1.6459999999999999E-2</v>
      </c>
      <c r="G97" s="16" t="s">
        <v>80</v>
      </c>
      <c r="H97" s="20">
        <f>InputData[[#This Row],[Transacted Units]]*InputData[[#This Row],[Transacted Price (per unit)]]</f>
        <v>1810.6000000000001</v>
      </c>
      <c r="I97" s="14"/>
    </row>
    <row r="98" spans="1:9" ht="15.75" customHeight="1" x14ac:dyDescent="0.25">
      <c r="A98" s="16" t="s">
        <v>28</v>
      </c>
      <c r="B98" s="21">
        <v>44559</v>
      </c>
      <c r="C98" s="16" t="s">
        <v>4</v>
      </c>
      <c r="D98" s="22">
        <v>2.06</v>
      </c>
      <c r="E98" s="18">
        <v>133</v>
      </c>
      <c r="F98" s="18">
        <v>2.0600000000000002E-3</v>
      </c>
      <c r="G98" s="16" t="s">
        <v>80</v>
      </c>
      <c r="H98" s="20">
        <f>InputData[[#This Row],[Transacted Units]]*InputData[[#This Row],[Transacted Price (per unit)]]</f>
        <v>273.98</v>
      </c>
      <c r="I98" s="14"/>
    </row>
    <row r="99" spans="1:9" ht="15.75" customHeight="1" x14ac:dyDescent="0.25">
      <c r="A99" s="16" t="s">
        <v>28</v>
      </c>
      <c r="B99" s="21">
        <v>44559</v>
      </c>
      <c r="C99" s="16" t="s">
        <v>4</v>
      </c>
      <c r="D99" s="22">
        <v>1.7</v>
      </c>
      <c r="E99" s="18">
        <v>133</v>
      </c>
      <c r="F99" s="18">
        <v>1.6999999999999999E-3</v>
      </c>
      <c r="G99" s="16" t="s">
        <v>80</v>
      </c>
      <c r="H99" s="20">
        <f>InputData[[#This Row],[Transacted Units]]*InputData[[#This Row],[Transacted Price (per unit)]]</f>
        <v>226.1</v>
      </c>
      <c r="I99" s="14"/>
    </row>
    <row r="100" spans="1:9" ht="15.75" customHeight="1" x14ac:dyDescent="0.25">
      <c r="A100" s="16" t="s">
        <v>28</v>
      </c>
      <c r="B100" s="21">
        <v>44559</v>
      </c>
      <c r="C100" s="16" t="s">
        <v>4</v>
      </c>
      <c r="D100" s="22">
        <v>3.68</v>
      </c>
      <c r="E100" s="18">
        <v>135.5</v>
      </c>
      <c r="F100" s="18">
        <v>3.6800000000000001E-3</v>
      </c>
      <c r="G100" s="16" t="s">
        <v>80</v>
      </c>
      <c r="H100" s="20">
        <f>InputData[[#This Row],[Transacted Units]]*InputData[[#This Row],[Transacted Price (per unit)]]</f>
        <v>498.64000000000004</v>
      </c>
      <c r="I100" s="14"/>
    </row>
    <row r="101" spans="1:9" ht="15.75" customHeight="1" x14ac:dyDescent="0.25">
      <c r="A101" s="16" t="s">
        <v>28</v>
      </c>
      <c r="B101" s="21">
        <v>44536</v>
      </c>
      <c r="C101" s="16" t="s">
        <v>4</v>
      </c>
      <c r="D101" s="22">
        <v>4.67</v>
      </c>
      <c r="E101" s="18">
        <v>149.93</v>
      </c>
      <c r="F101" s="18">
        <v>6.6617E-4</v>
      </c>
      <c r="G101" s="16" t="s">
        <v>80</v>
      </c>
      <c r="H101" s="20">
        <f>InputData[[#This Row],[Transacted Units]]*InputData[[#This Row],[Transacted Price (per unit)]]</f>
        <v>700.17309999999998</v>
      </c>
      <c r="I101" s="14"/>
    </row>
    <row r="102" spans="1:9" ht="15.75" customHeight="1" x14ac:dyDescent="0.25">
      <c r="A102" s="16" t="s">
        <v>28</v>
      </c>
      <c r="B102" s="21">
        <v>44535</v>
      </c>
      <c r="C102" s="16" t="s">
        <v>4</v>
      </c>
      <c r="D102" s="22">
        <v>3.44</v>
      </c>
      <c r="E102" s="18">
        <v>160</v>
      </c>
      <c r="F102" s="18">
        <v>5.1161000000000002E-4</v>
      </c>
      <c r="G102" s="16" t="s">
        <v>80</v>
      </c>
      <c r="H102" s="20">
        <f>InputData[[#This Row],[Transacted Units]]*InputData[[#This Row],[Transacted Price (per unit)]]</f>
        <v>550.4</v>
      </c>
      <c r="I102" s="14"/>
    </row>
    <row r="103" spans="1:9" ht="15.75" customHeight="1" x14ac:dyDescent="0.25">
      <c r="A103" s="16" t="s">
        <v>28</v>
      </c>
      <c r="B103" s="21">
        <v>44535</v>
      </c>
      <c r="C103" s="16" t="s">
        <v>4</v>
      </c>
      <c r="D103" s="22">
        <v>3.49</v>
      </c>
      <c r="E103" s="18">
        <v>160</v>
      </c>
      <c r="F103" s="18">
        <v>5.1904000000000002E-4</v>
      </c>
      <c r="G103" s="16" t="s">
        <v>80</v>
      </c>
      <c r="H103" s="20">
        <f>InputData[[#This Row],[Transacted Units]]*InputData[[#This Row],[Transacted Price (per unit)]]</f>
        <v>558.40000000000009</v>
      </c>
      <c r="I103" s="14"/>
    </row>
    <row r="104" spans="1:9" ht="15.75" customHeight="1" x14ac:dyDescent="0.25">
      <c r="A104" s="16" t="s">
        <v>28</v>
      </c>
      <c r="B104" s="21">
        <v>44534</v>
      </c>
      <c r="C104" s="16" t="s">
        <v>4</v>
      </c>
      <c r="D104" s="22">
        <v>6.52</v>
      </c>
      <c r="E104" s="18">
        <v>160</v>
      </c>
      <c r="F104" s="18">
        <v>6.5199999999999998E-3</v>
      </c>
      <c r="G104" s="16" t="s">
        <v>80</v>
      </c>
      <c r="H104" s="20">
        <f>InputData[[#This Row],[Transacted Units]]*InputData[[#This Row],[Transacted Price (per unit)]]</f>
        <v>1043.1999999999998</v>
      </c>
      <c r="I104" s="14"/>
    </row>
    <row r="105" spans="1:9" ht="15.75" customHeight="1" x14ac:dyDescent="0.25">
      <c r="A105" s="16" t="s">
        <v>28</v>
      </c>
      <c r="B105" s="21">
        <v>44534</v>
      </c>
      <c r="C105" s="16" t="s">
        <v>4</v>
      </c>
      <c r="D105" s="22">
        <v>5.98</v>
      </c>
      <c r="E105" s="18">
        <v>160</v>
      </c>
      <c r="F105" s="18">
        <v>5.9800000000000001E-3</v>
      </c>
      <c r="G105" s="16" t="s">
        <v>80</v>
      </c>
      <c r="H105" s="20">
        <f>InputData[[#This Row],[Transacted Units]]*InputData[[#This Row],[Transacted Price (per unit)]]</f>
        <v>956.80000000000007</v>
      </c>
      <c r="I105" s="14"/>
    </row>
    <row r="106" spans="1:9" ht="15.75" customHeight="1" x14ac:dyDescent="0.25">
      <c r="A106" s="16" t="s">
        <v>28</v>
      </c>
      <c r="B106" s="21">
        <v>44534</v>
      </c>
      <c r="C106" s="16" t="s">
        <v>4</v>
      </c>
      <c r="D106" s="22">
        <v>5.71</v>
      </c>
      <c r="E106" s="18">
        <v>175</v>
      </c>
      <c r="F106" s="18">
        <v>5.7099999999999998E-3</v>
      </c>
      <c r="G106" s="16" t="s">
        <v>80</v>
      </c>
      <c r="H106" s="20">
        <f>InputData[[#This Row],[Transacted Units]]*InputData[[#This Row],[Transacted Price (per unit)]]</f>
        <v>999.25</v>
      </c>
      <c r="I106" s="14"/>
    </row>
    <row r="107" spans="1:9" ht="15.75" customHeight="1" x14ac:dyDescent="0.25">
      <c r="A107" s="16" t="s">
        <v>28</v>
      </c>
      <c r="B107" s="21">
        <v>44534</v>
      </c>
      <c r="C107" s="16" t="s">
        <v>4</v>
      </c>
      <c r="D107" s="22">
        <v>5.55</v>
      </c>
      <c r="E107" s="18">
        <v>180</v>
      </c>
      <c r="F107" s="18">
        <v>5.5500000000000002E-3</v>
      </c>
      <c r="G107" s="16" t="s">
        <v>80</v>
      </c>
      <c r="H107" s="20">
        <f>InputData[[#This Row],[Transacted Units]]*InputData[[#This Row],[Transacted Price (per unit)]]</f>
        <v>999</v>
      </c>
      <c r="I107" s="14"/>
    </row>
    <row r="108" spans="1:9" ht="15.75" customHeight="1" x14ac:dyDescent="0.25">
      <c r="A108" s="16" t="s">
        <v>28</v>
      </c>
      <c r="B108" s="21">
        <v>44533</v>
      </c>
      <c r="C108" s="16" t="s">
        <v>4</v>
      </c>
      <c r="D108" s="22">
        <v>4.92</v>
      </c>
      <c r="E108" s="18">
        <v>186.55</v>
      </c>
      <c r="F108" s="18">
        <v>4.9199999999999999E-3</v>
      </c>
      <c r="G108" s="16" t="s">
        <v>80</v>
      </c>
      <c r="H108" s="20">
        <f>InputData[[#This Row],[Transacted Units]]*InputData[[#This Row],[Transacted Price (per unit)]]</f>
        <v>917.82600000000002</v>
      </c>
      <c r="I108" s="14"/>
    </row>
    <row r="109" spans="1:9" ht="15.75" customHeight="1" x14ac:dyDescent="0.25">
      <c r="A109" s="16" t="s">
        <v>28</v>
      </c>
      <c r="B109" s="21">
        <v>44533</v>
      </c>
      <c r="C109" s="16" t="s">
        <v>4</v>
      </c>
      <c r="D109" s="22">
        <v>4.9000000000000004</v>
      </c>
      <c r="E109" s="18">
        <v>186.55</v>
      </c>
      <c r="F109" s="18">
        <v>4.8999999999999998E-3</v>
      </c>
      <c r="G109" s="16" t="s">
        <v>80</v>
      </c>
      <c r="H109" s="20">
        <f>InputData[[#This Row],[Transacted Units]]*InputData[[#This Row],[Transacted Price (per unit)]]</f>
        <v>914.09500000000014</v>
      </c>
      <c r="I109" s="14"/>
    </row>
    <row r="110" spans="1:9" ht="15.75" customHeight="1" x14ac:dyDescent="0.25">
      <c r="A110" s="16" t="s">
        <v>28</v>
      </c>
      <c r="B110" s="21">
        <v>44533</v>
      </c>
      <c r="C110" s="16" t="s">
        <v>4</v>
      </c>
      <c r="D110" s="22">
        <v>0.9</v>
      </c>
      <c r="E110" s="18">
        <v>186.55</v>
      </c>
      <c r="F110" s="18">
        <v>8.9999999999999998E-4</v>
      </c>
      <c r="G110" s="16" t="s">
        <v>80</v>
      </c>
      <c r="H110" s="20">
        <f>InputData[[#This Row],[Transacted Units]]*InputData[[#This Row],[Transacted Price (per unit)]]</f>
        <v>167.89500000000001</v>
      </c>
      <c r="I110" s="14"/>
    </row>
    <row r="111" spans="1:9" ht="15.75" customHeight="1" x14ac:dyDescent="0.25">
      <c r="A111" s="16" t="s">
        <v>28</v>
      </c>
      <c r="B111" s="21">
        <v>44521</v>
      </c>
      <c r="C111" s="16" t="s">
        <v>4</v>
      </c>
      <c r="D111" s="22">
        <v>2.91</v>
      </c>
      <c r="E111" s="18">
        <v>180</v>
      </c>
      <c r="F111" s="18">
        <v>2.9099999999999998E-3</v>
      </c>
      <c r="G111" s="16" t="s">
        <v>80</v>
      </c>
      <c r="H111" s="20">
        <f>InputData[[#This Row],[Transacted Units]]*InputData[[#This Row],[Transacted Price (per unit)]]</f>
        <v>523.80000000000007</v>
      </c>
      <c r="I111" s="14"/>
    </row>
    <row r="112" spans="1:9" ht="15.75" customHeight="1" x14ac:dyDescent="0.25">
      <c r="A112" s="16" t="s">
        <v>28</v>
      </c>
      <c r="B112" s="21">
        <v>44521</v>
      </c>
      <c r="C112" s="16" t="s">
        <v>4</v>
      </c>
      <c r="D112" s="22">
        <v>8.43</v>
      </c>
      <c r="E112" s="18">
        <v>180</v>
      </c>
      <c r="F112" s="18">
        <v>8.43E-3</v>
      </c>
      <c r="G112" s="16" t="s">
        <v>80</v>
      </c>
      <c r="H112" s="20">
        <f>InputData[[#This Row],[Transacted Units]]*InputData[[#This Row],[Transacted Price (per unit)]]</f>
        <v>1517.3999999999999</v>
      </c>
      <c r="I112" s="14"/>
    </row>
    <row r="113" spans="1:9" ht="15.75" customHeight="1" x14ac:dyDescent="0.25">
      <c r="A113" s="16" t="s">
        <v>28</v>
      </c>
      <c r="B113" s="21">
        <v>44518</v>
      </c>
      <c r="C113" s="16" t="s">
        <v>4</v>
      </c>
      <c r="D113" s="22">
        <v>2.92</v>
      </c>
      <c r="E113" s="18">
        <v>173</v>
      </c>
      <c r="F113" s="18">
        <v>2.9199999999999999E-3</v>
      </c>
      <c r="G113" s="16" t="s">
        <v>80</v>
      </c>
      <c r="H113" s="20">
        <f>InputData[[#This Row],[Transacted Units]]*InputData[[#This Row],[Transacted Price (per unit)]]</f>
        <v>505.15999999999997</v>
      </c>
      <c r="I113" s="14"/>
    </row>
    <row r="114" spans="1:9" ht="15.75" customHeight="1" x14ac:dyDescent="0.25">
      <c r="A114" s="16" t="s">
        <v>28</v>
      </c>
      <c r="B114" s="21">
        <v>44518</v>
      </c>
      <c r="C114" s="16" t="s">
        <v>4</v>
      </c>
      <c r="D114" s="22">
        <v>16.010000000000002</v>
      </c>
      <c r="E114" s="18">
        <v>173</v>
      </c>
      <c r="F114" s="18">
        <v>1.601E-2</v>
      </c>
      <c r="G114" s="16" t="s">
        <v>80</v>
      </c>
      <c r="H114" s="20">
        <f>InputData[[#This Row],[Transacted Units]]*InputData[[#This Row],[Transacted Price (per unit)]]</f>
        <v>2769.7300000000005</v>
      </c>
      <c r="I114" s="14"/>
    </row>
    <row r="115" spans="1:9" ht="15.75" customHeight="1" x14ac:dyDescent="0.25">
      <c r="A115" s="16" t="s">
        <v>28</v>
      </c>
      <c r="B115" s="21">
        <v>44518</v>
      </c>
      <c r="C115" s="16" t="s">
        <v>4</v>
      </c>
      <c r="D115" s="22">
        <v>0.34</v>
      </c>
      <c r="E115" s="18">
        <v>173</v>
      </c>
      <c r="F115" s="18">
        <v>3.4000000000000002E-4</v>
      </c>
      <c r="G115" s="16" t="s">
        <v>80</v>
      </c>
      <c r="H115" s="20">
        <f>InputData[[#This Row],[Transacted Units]]*InputData[[#This Row],[Transacted Price (per unit)]]</f>
        <v>58.820000000000007</v>
      </c>
      <c r="I115" s="14"/>
    </row>
    <row r="116" spans="1:9" ht="15.75" customHeight="1" x14ac:dyDescent="0.25">
      <c r="A116" s="16" t="s">
        <v>28</v>
      </c>
      <c r="B116" s="21">
        <v>44518</v>
      </c>
      <c r="C116" s="16" t="s">
        <v>4</v>
      </c>
      <c r="D116" s="22">
        <v>0.34</v>
      </c>
      <c r="E116" s="18">
        <v>173</v>
      </c>
      <c r="F116" s="18">
        <v>3.4000000000000002E-4</v>
      </c>
      <c r="G116" s="16" t="s">
        <v>80</v>
      </c>
      <c r="H116" s="20">
        <f>InputData[[#This Row],[Transacted Units]]*InputData[[#This Row],[Transacted Price (per unit)]]</f>
        <v>58.820000000000007</v>
      </c>
      <c r="I116" s="14"/>
    </row>
    <row r="117" spans="1:9" ht="15.75" customHeight="1" x14ac:dyDescent="0.25">
      <c r="A117" s="16" t="s">
        <v>28</v>
      </c>
      <c r="B117" s="21">
        <v>44518</v>
      </c>
      <c r="C117" s="16" t="s">
        <v>4</v>
      </c>
      <c r="D117" s="22">
        <v>0.39</v>
      </c>
      <c r="E117" s="18">
        <v>173</v>
      </c>
      <c r="F117" s="18">
        <v>3.8999999999999999E-4</v>
      </c>
      <c r="G117" s="16" t="s">
        <v>80</v>
      </c>
      <c r="H117" s="20">
        <f>InputData[[#This Row],[Transacted Units]]*InputData[[#This Row],[Transacted Price (per unit)]]</f>
        <v>67.47</v>
      </c>
      <c r="I117" s="14"/>
    </row>
    <row r="118" spans="1:9" ht="15.75" customHeight="1" x14ac:dyDescent="0.25">
      <c r="A118" s="16" t="s">
        <v>28</v>
      </c>
      <c r="B118" s="21">
        <v>44518</v>
      </c>
      <c r="C118" s="16" t="s">
        <v>4</v>
      </c>
      <c r="D118" s="22">
        <v>11.19</v>
      </c>
      <c r="E118" s="18">
        <v>175</v>
      </c>
      <c r="F118" s="18">
        <v>1.119E-2</v>
      </c>
      <c r="G118" s="16" t="s">
        <v>80</v>
      </c>
      <c r="H118" s="20">
        <f>InputData[[#This Row],[Transacted Units]]*InputData[[#This Row],[Transacted Price (per unit)]]</f>
        <v>1958.25</v>
      </c>
      <c r="I118" s="14"/>
    </row>
    <row r="119" spans="1:9" ht="15.75" customHeight="1" x14ac:dyDescent="0.25">
      <c r="A119" s="16" t="s">
        <v>28</v>
      </c>
      <c r="B119" s="21">
        <v>44518</v>
      </c>
      <c r="C119" s="16" t="s">
        <v>4</v>
      </c>
      <c r="D119" s="22">
        <v>0.24</v>
      </c>
      <c r="E119" s="18">
        <v>175</v>
      </c>
      <c r="F119" s="18">
        <v>2.4000000000000001E-4</v>
      </c>
      <c r="G119" s="16" t="s">
        <v>80</v>
      </c>
      <c r="H119" s="20">
        <f>InputData[[#This Row],[Transacted Units]]*InputData[[#This Row],[Transacted Price (per unit)]]</f>
        <v>42</v>
      </c>
      <c r="I119" s="14"/>
    </row>
    <row r="120" spans="1:9" ht="15.75" customHeight="1" x14ac:dyDescent="0.25">
      <c r="A120" s="16" t="s">
        <v>28</v>
      </c>
      <c r="B120" s="21">
        <v>44518</v>
      </c>
      <c r="C120" s="16" t="s">
        <v>4</v>
      </c>
      <c r="D120" s="22">
        <v>5.91</v>
      </c>
      <c r="E120" s="18">
        <v>180</v>
      </c>
      <c r="F120" s="18">
        <v>5.9100000000000003E-3</v>
      </c>
      <c r="G120" s="16" t="s">
        <v>80</v>
      </c>
      <c r="H120" s="20">
        <f>InputData[[#This Row],[Transacted Units]]*InputData[[#This Row],[Transacted Price (per unit)]]</f>
        <v>1063.8</v>
      </c>
      <c r="I120" s="14"/>
    </row>
    <row r="121" spans="1:9" ht="15.75" customHeight="1" x14ac:dyDescent="0.25">
      <c r="A121" s="16" t="s">
        <v>28</v>
      </c>
      <c r="B121" s="21">
        <v>44518</v>
      </c>
      <c r="C121" s="16" t="s">
        <v>4</v>
      </c>
      <c r="D121" s="22">
        <v>4.08</v>
      </c>
      <c r="E121" s="18">
        <v>180</v>
      </c>
      <c r="F121" s="18">
        <v>4.0800000000000003E-3</v>
      </c>
      <c r="G121" s="16" t="s">
        <v>80</v>
      </c>
      <c r="H121" s="20">
        <f>InputData[[#This Row],[Transacted Units]]*InputData[[#This Row],[Transacted Price (per unit)]]</f>
        <v>734.4</v>
      </c>
      <c r="I121" s="14"/>
    </row>
    <row r="122" spans="1:9" ht="15.75" customHeight="1" x14ac:dyDescent="0.25">
      <c r="A122" s="16" t="s">
        <v>28</v>
      </c>
      <c r="B122" s="21">
        <v>44518</v>
      </c>
      <c r="C122" s="16" t="s">
        <v>4</v>
      </c>
      <c r="D122" s="22">
        <v>3.89</v>
      </c>
      <c r="E122" s="18">
        <v>180</v>
      </c>
      <c r="F122" s="18">
        <v>3.8899999999999998E-3</v>
      </c>
      <c r="G122" s="16" t="s">
        <v>80</v>
      </c>
      <c r="H122" s="20">
        <f>InputData[[#This Row],[Transacted Units]]*InputData[[#This Row],[Transacted Price (per unit)]]</f>
        <v>700.2</v>
      </c>
      <c r="I122" s="14"/>
    </row>
    <row r="123" spans="1:9" ht="15.75" customHeight="1" x14ac:dyDescent="0.25">
      <c r="A123" s="16" t="s">
        <v>28</v>
      </c>
      <c r="B123" s="21">
        <v>44516</v>
      </c>
      <c r="C123" s="16" t="s">
        <v>4</v>
      </c>
      <c r="D123" s="22">
        <v>11.43</v>
      </c>
      <c r="E123" s="18">
        <v>175</v>
      </c>
      <c r="F123" s="18">
        <v>1.1429999999999999E-2</v>
      </c>
      <c r="G123" s="16" t="s">
        <v>80</v>
      </c>
      <c r="H123" s="20">
        <f>InputData[[#This Row],[Transacted Units]]*InputData[[#This Row],[Transacted Price (per unit)]]</f>
        <v>2000.25</v>
      </c>
      <c r="I123" s="14"/>
    </row>
    <row r="124" spans="1:9" ht="15.75" customHeight="1" x14ac:dyDescent="0.25">
      <c r="A124" s="16" t="s">
        <v>28</v>
      </c>
      <c r="B124" s="21">
        <v>44516</v>
      </c>
      <c r="C124" s="16" t="s">
        <v>4</v>
      </c>
      <c r="D124" s="22">
        <v>1.34</v>
      </c>
      <c r="E124" s="18">
        <v>185.6</v>
      </c>
      <c r="F124" s="18">
        <v>1.34E-3</v>
      </c>
      <c r="G124" s="16" t="s">
        <v>80</v>
      </c>
      <c r="H124" s="20">
        <f>InputData[[#This Row],[Transacted Units]]*InputData[[#This Row],[Transacted Price (per unit)]]</f>
        <v>248.70400000000001</v>
      </c>
      <c r="I124" s="14"/>
    </row>
    <row r="125" spans="1:9" ht="15.75" customHeight="1" x14ac:dyDescent="0.25">
      <c r="A125" s="16" t="s">
        <v>28</v>
      </c>
      <c r="B125" s="21">
        <v>44516</v>
      </c>
      <c r="C125" s="16" t="s">
        <v>4</v>
      </c>
      <c r="D125" s="22">
        <v>10.52</v>
      </c>
      <c r="E125" s="18">
        <v>190</v>
      </c>
      <c r="F125" s="18">
        <v>1.052E-2</v>
      </c>
      <c r="G125" s="16" t="s">
        <v>80</v>
      </c>
      <c r="H125" s="20">
        <f>InputData[[#This Row],[Transacted Units]]*InputData[[#This Row],[Transacted Price (per unit)]]</f>
        <v>1998.8</v>
      </c>
      <c r="I125" s="14"/>
    </row>
    <row r="126" spans="1:9" ht="15.75" customHeight="1" x14ac:dyDescent="0.25">
      <c r="A126" s="16" t="s">
        <v>28</v>
      </c>
      <c r="B126" s="21">
        <v>44510</v>
      </c>
      <c r="C126" s="16" t="s">
        <v>4</v>
      </c>
      <c r="D126" s="22">
        <v>25.85</v>
      </c>
      <c r="E126" s="18">
        <v>208.71</v>
      </c>
      <c r="F126" s="18">
        <v>2.5850000000000001E-2</v>
      </c>
      <c r="G126" s="16" t="s">
        <v>80</v>
      </c>
      <c r="H126" s="20">
        <f>InputData[[#This Row],[Transacted Units]]*InputData[[#This Row],[Transacted Price (per unit)]]</f>
        <v>5395.1535000000003</v>
      </c>
      <c r="I126" s="14"/>
    </row>
    <row r="127" spans="1:9" ht="15.75" customHeight="1" x14ac:dyDescent="0.25">
      <c r="A127" s="16" t="s">
        <v>28</v>
      </c>
      <c r="B127" s="21">
        <v>44510</v>
      </c>
      <c r="C127" s="16" t="s">
        <v>4</v>
      </c>
      <c r="D127" s="22">
        <v>0.02</v>
      </c>
      <c r="E127" s="18">
        <v>208.71</v>
      </c>
      <c r="F127" s="18">
        <v>2.0000000000000002E-5</v>
      </c>
      <c r="G127" s="16" t="s">
        <v>80</v>
      </c>
      <c r="H127" s="20">
        <f>InputData[[#This Row],[Transacted Units]]*InputData[[#This Row],[Transacted Price (per unit)]]</f>
        <v>4.1741999999999999</v>
      </c>
      <c r="I127" s="14"/>
    </row>
    <row r="128" spans="1:9" ht="15.75" customHeight="1" x14ac:dyDescent="0.25">
      <c r="A128" s="16" t="s">
        <v>28</v>
      </c>
      <c r="B128" s="21">
        <v>44505</v>
      </c>
      <c r="C128" s="16" t="s">
        <v>4</v>
      </c>
      <c r="D128" s="22">
        <v>7.36</v>
      </c>
      <c r="E128" s="18">
        <v>195.88</v>
      </c>
      <c r="F128" s="18">
        <v>7.3600000000000002E-3</v>
      </c>
      <c r="G128" s="16" t="s">
        <v>80</v>
      </c>
      <c r="H128" s="20">
        <f>InputData[[#This Row],[Transacted Units]]*InputData[[#This Row],[Transacted Price (per unit)]]</f>
        <v>1441.6768</v>
      </c>
      <c r="I128" s="14"/>
    </row>
    <row r="129" spans="1:9" ht="15.75" customHeight="1" x14ac:dyDescent="0.25">
      <c r="A129" s="16" t="s">
        <v>28</v>
      </c>
      <c r="B129" s="21">
        <v>44505</v>
      </c>
      <c r="C129" s="16" t="s">
        <v>4</v>
      </c>
      <c r="D129" s="22">
        <v>1.57</v>
      </c>
      <c r="E129" s="18">
        <v>195.88</v>
      </c>
      <c r="F129" s="18">
        <v>1.57E-3</v>
      </c>
      <c r="G129" s="16" t="s">
        <v>80</v>
      </c>
      <c r="H129" s="20">
        <f>InputData[[#This Row],[Transacted Units]]*InputData[[#This Row],[Transacted Price (per unit)]]</f>
        <v>307.53160000000003</v>
      </c>
      <c r="I129" s="14"/>
    </row>
    <row r="130" spans="1:9" ht="15.75" customHeight="1" x14ac:dyDescent="0.25">
      <c r="A130" s="16" t="s">
        <v>28</v>
      </c>
      <c r="B130" s="21">
        <v>44505</v>
      </c>
      <c r="C130" s="16" t="s">
        <v>4</v>
      </c>
      <c r="D130" s="22">
        <v>2.0099999999999998</v>
      </c>
      <c r="E130" s="18">
        <v>195.88</v>
      </c>
      <c r="F130" s="18">
        <v>2.0100000000000001E-3</v>
      </c>
      <c r="G130" s="16" t="s">
        <v>80</v>
      </c>
      <c r="H130" s="20">
        <f>InputData[[#This Row],[Transacted Units]]*InputData[[#This Row],[Transacted Price (per unit)]]</f>
        <v>393.71879999999993</v>
      </c>
      <c r="I130" s="14"/>
    </row>
    <row r="131" spans="1:9" ht="15.75" customHeight="1" x14ac:dyDescent="0.25">
      <c r="A131" s="16" t="s">
        <v>28</v>
      </c>
      <c r="B131" s="21">
        <v>44505</v>
      </c>
      <c r="C131" s="16" t="s">
        <v>4</v>
      </c>
      <c r="D131" s="22">
        <v>2.0099999999999998</v>
      </c>
      <c r="E131" s="18">
        <v>195.88</v>
      </c>
      <c r="F131" s="18">
        <v>2.0100000000000001E-3</v>
      </c>
      <c r="G131" s="16" t="s">
        <v>80</v>
      </c>
      <c r="H131" s="20">
        <f>InputData[[#This Row],[Transacted Units]]*InputData[[#This Row],[Transacted Price (per unit)]]</f>
        <v>393.71879999999993</v>
      </c>
      <c r="I131" s="14"/>
    </row>
    <row r="132" spans="1:9" ht="15.75" customHeight="1" x14ac:dyDescent="0.25">
      <c r="A132" s="16" t="s">
        <v>28</v>
      </c>
      <c r="B132" s="21">
        <v>44505</v>
      </c>
      <c r="C132" s="16" t="s">
        <v>4</v>
      </c>
      <c r="D132" s="22">
        <v>12.57</v>
      </c>
      <c r="E132" s="18">
        <v>195.88</v>
      </c>
      <c r="F132" s="18">
        <v>1.257E-2</v>
      </c>
      <c r="G132" s="16" t="s">
        <v>80</v>
      </c>
      <c r="H132" s="20">
        <f>InputData[[#This Row],[Transacted Units]]*InputData[[#This Row],[Transacted Price (per unit)]]</f>
        <v>2462.2116000000001</v>
      </c>
      <c r="I132" s="14"/>
    </row>
    <row r="133" spans="1:9" ht="15.75" customHeight="1" x14ac:dyDescent="0.25">
      <c r="A133" s="16" t="s">
        <v>28</v>
      </c>
      <c r="B133" s="21">
        <v>44535</v>
      </c>
      <c r="C133" s="16" t="s">
        <v>5</v>
      </c>
      <c r="D133" s="22">
        <v>4.3099999999999996</v>
      </c>
      <c r="E133" s="18">
        <v>170.3</v>
      </c>
      <c r="F133" s="18">
        <v>6.7885999999999999E-4</v>
      </c>
      <c r="G133" s="16" t="s">
        <v>80</v>
      </c>
      <c r="H133" s="20">
        <f>InputData[[#This Row],[Transacted Units]]*InputData[[#This Row],[Transacted Price (per unit)]]</f>
        <v>733.99299999999994</v>
      </c>
      <c r="I133" s="14"/>
    </row>
    <row r="134" spans="1:9" ht="15.75" customHeight="1" x14ac:dyDescent="0.25">
      <c r="A134" s="16" t="s">
        <v>28</v>
      </c>
      <c r="B134" s="21">
        <v>44535</v>
      </c>
      <c r="C134" s="16" t="s">
        <v>5</v>
      </c>
      <c r="D134" s="22">
        <v>2.21</v>
      </c>
      <c r="E134" s="18">
        <v>170.3</v>
      </c>
      <c r="F134" s="18">
        <v>0.376363</v>
      </c>
      <c r="G134" s="16" t="s">
        <v>80</v>
      </c>
      <c r="H134" s="20">
        <f>InputData[[#This Row],[Transacted Units]]*InputData[[#This Row],[Transacted Price (per unit)]]</f>
        <v>376.363</v>
      </c>
      <c r="I134" s="14"/>
    </row>
    <row r="135" spans="1:9" ht="15.75" customHeight="1" x14ac:dyDescent="0.25">
      <c r="A135" s="16" t="s">
        <v>28</v>
      </c>
      <c r="B135" s="21">
        <v>44535</v>
      </c>
      <c r="C135" s="16" t="s">
        <v>5</v>
      </c>
      <c r="D135" s="22">
        <v>57</v>
      </c>
      <c r="E135" s="18">
        <v>80</v>
      </c>
      <c r="F135" s="18">
        <v>4.5599999999999996</v>
      </c>
      <c r="G135" s="16" t="s">
        <v>80</v>
      </c>
      <c r="H135" s="20">
        <f>InputData[[#This Row],[Transacted Units]]*InputData[[#This Row],[Transacted Price (per unit)]]</f>
        <v>4560</v>
      </c>
      <c r="I135" s="14"/>
    </row>
    <row r="136" spans="1:9" ht="15.75" customHeight="1" x14ac:dyDescent="0.25">
      <c r="A136" s="16" t="s">
        <v>28</v>
      </c>
      <c r="B136" s="21">
        <v>44559</v>
      </c>
      <c r="C136" s="16" t="s">
        <v>4</v>
      </c>
      <c r="D136" s="22">
        <v>3.18</v>
      </c>
      <c r="E136" s="18">
        <v>132.596024</v>
      </c>
      <c r="F136" s="18">
        <v>4.4853582000000001E-3</v>
      </c>
      <c r="G136" s="16" t="s">
        <v>80</v>
      </c>
      <c r="H136" s="20">
        <f>InputData[[#This Row],[Transacted Units]]*InputData[[#This Row],[Transacted Price (per unit)]]</f>
        <v>421.65535632000001</v>
      </c>
      <c r="I136" s="14"/>
    </row>
    <row r="137" spans="1:9" ht="15.75" customHeight="1" x14ac:dyDescent="0.25">
      <c r="A137" s="16" t="s">
        <v>28</v>
      </c>
      <c r="B137" s="21">
        <v>44510</v>
      </c>
      <c r="C137" s="16" t="s">
        <v>4</v>
      </c>
      <c r="D137" s="22">
        <v>3.31</v>
      </c>
      <c r="E137" s="18">
        <v>204.53641999999999</v>
      </c>
      <c r="F137" s="18">
        <v>4.6687218999999997E-3</v>
      </c>
      <c r="G137" s="16" t="s">
        <v>80</v>
      </c>
      <c r="H137" s="20">
        <f>InputData[[#This Row],[Transacted Units]]*InputData[[#This Row],[Transacted Price (per unit)]]</f>
        <v>677.01555020000001</v>
      </c>
      <c r="I137" s="14"/>
    </row>
    <row r="138" spans="1:9" ht="15.75" customHeight="1" x14ac:dyDescent="0.25">
      <c r="A138" s="16" t="s">
        <v>28</v>
      </c>
      <c r="B138" s="21">
        <v>44510</v>
      </c>
      <c r="C138" s="16" t="s">
        <v>4</v>
      </c>
      <c r="D138" s="22">
        <v>1.56</v>
      </c>
      <c r="E138" s="18">
        <v>204.53641999999999</v>
      </c>
      <c r="F138" s="18">
        <v>2.2003643999999999E-3</v>
      </c>
      <c r="G138" s="16" t="s">
        <v>80</v>
      </c>
      <c r="H138" s="20">
        <f>InputData[[#This Row],[Transacted Units]]*InputData[[#This Row],[Transacted Price (per unit)]]</f>
        <v>319.0768152</v>
      </c>
      <c r="I138" s="14"/>
    </row>
    <row r="139" spans="1:9" ht="15.75" customHeight="1" x14ac:dyDescent="0.25">
      <c r="A139" s="16" t="s">
        <v>28</v>
      </c>
      <c r="B139" s="21">
        <v>44518</v>
      </c>
      <c r="C139" s="16" t="s">
        <v>5</v>
      </c>
      <c r="D139" s="22">
        <v>0.41</v>
      </c>
      <c r="E139" s="18">
        <v>139.61903330000001</v>
      </c>
      <c r="F139" s="18">
        <v>5.7245008299999997E-2</v>
      </c>
      <c r="G139" s="16" t="s">
        <v>80</v>
      </c>
      <c r="H139" s="20">
        <f>InputData[[#This Row],[Transacted Units]]*InputData[[#This Row],[Transacted Price (per unit)]]</f>
        <v>57.243803653000001</v>
      </c>
      <c r="I139" s="14"/>
    </row>
    <row r="140" spans="1:9" ht="15.75" customHeight="1" x14ac:dyDescent="0.25">
      <c r="A140" s="16" t="s">
        <v>28</v>
      </c>
      <c r="B140" s="21">
        <v>44978</v>
      </c>
      <c r="C140" s="16" t="s">
        <v>4</v>
      </c>
      <c r="D140" s="22">
        <v>50</v>
      </c>
      <c r="E140" s="18">
        <v>88</v>
      </c>
      <c r="F140" s="18">
        <v>4.4000000000000004</v>
      </c>
      <c r="G140" s="16" t="s">
        <v>80</v>
      </c>
      <c r="H140" s="20">
        <f>InputData[[#This Row],[Transacted Units]]*InputData[[#This Row],[Transacted Price (per unit)]]</f>
        <v>4400</v>
      </c>
      <c r="I140" s="14"/>
    </row>
    <row r="141" spans="1:9" ht="15.75" customHeight="1" x14ac:dyDescent="0.25">
      <c r="A141" s="16" t="s">
        <v>28</v>
      </c>
      <c r="B141" s="21">
        <v>44978</v>
      </c>
      <c r="C141" s="16" t="s">
        <v>4</v>
      </c>
      <c r="D141" s="22">
        <v>50</v>
      </c>
      <c r="E141" s="18">
        <v>87</v>
      </c>
      <c r="F141" s="18">
        <v>4.3499999999999996</v>
      </c>
      <c r="G141" s="16" t="s">
        <v>80</v>
      </c>
      <c r="H141" s="20">
        <f>InputData[[#This Row],[Transacted Units]]*InputData[[#This Row],[Transacted Price (per unit)]]</f>
        <v>4350</v>
      </c>
      <c r="I141" s="14"/>
    </row>
    <row r="142" spans="1:9" ht="15.75" customHeight="1" x14ac:dyDescent="0.25">
      <c r="A142" s="16" t="s">
        <v>28</v>
      </c>
      <c r="B142" s="21">
        <v>44610</v>
      </c>
      <c r="C142" s="16" t="s">
        <v>2</v>
      </c>
      <c r="D142" s="22">
        <v>50</v>
      </c>
      <c r="E142" s="18">
        <v>78.66</v>
      </c>
      <c r="F142" s="18">
        <v>3.9329999999999998</v>
      </c>
      <c r="G142" s="16" t="s">
        <v>80</v>
      </c>
      <c r="H142" s="20">
        <f>InputData[[#This Row],[Transacted Units]]*InputData[[#This Row],[Transacted Price (per unit)]]</f>
        <v>3933</v>
      </c>
      <c r="I142" s="14"/>
    </row>
    <row r="143" spans="1:9" ht="15.75" customHeight="1" x14ac:dyDescent="0.25">
      <c r="A143" s="16" t="s">
        <v>28</v>
      </c>
      <c r="B143" s="21">
        <v>44614</v>
      </c>
      <c r="C143" s="16" t="s">
        <v>4</v>
      </c>
      <c r="D143" s="22">
        <v>0.3</v>
      </c>
      <c r="E143" s="18">
        <v>64.88</v>
      </c>
      <c r="F143" s="18">
        <v>1.9463999999999999E-2</v>
      </c>
      <c r="G143" s="16" t="s">
        <v>80</v>
      </c>
      <c r="H143" s="20">
        <f>InputData[[#This Row],[Transacted Units]]*InputData[[#This Row],[Transacted Price (per unit)]]</f>
        <v>19.463999999999999</v>
      </c>
      <c r="I143" s="14"/>
    </row>
    <row r="144" spans="1:9" ht="15.75" customHeight="1" x14ac:dyDescent="0.25">
      <c r="A144" s="16" t="s">
        <v>28</v>
      </c>
      <c r="B144" s="21">
        <v>44615</v>
      </c>
      <c r="C144" s="16" t="s">
        <v>3</v>
      </c>
      <c r="D144" s="22">
        <v>0.28999999999999998</v>
      </c>
      <c r="E144" s="18">
        <v>69</v>
      </c>
      <c r="F144" s="18">
        <v>1.38069</v>
      </c>
      <c r="G144" s="16" t="s">
        <v>80</v>
      </c>
      <c r="H144" s="20">
        <f>InputData[[#This Row],[Transacted Units]]*InputData[[#This Row],[Transacted Price (per unit)]]</f>
        <v>20.009999999999998</v>
      </c>
      <c r="I144" s="14"/>
    </row>
    <row r="145" spans="1:9" ht="15.75" customHeight="1" x14ac:dyDescent="0.25">
      <c r="A145" s="16" t="s">
        <v>28</v>
      </c>
      <c r="B145" s="21">
        <v>44646</v>
      </c>
      <c r="C145" s="16" t="s">
        <v>4</v>
      </c>
      <c r="D145" s="22">
        <v>0.5</v>
      </c>
      <c r="E145" s="18">
        <v>70</v>
      </c>
      <c r="F145" s="18">
        <v>5.0000000000000001E-4</v>
      </c>
      <c r="G145" s="16" t="s">
        <v>80</v>
      </c>
      <c r="H145" s="20">
        <f>InputData[[#This Row],[Transacted Units]]*InputData[[#This Row],[Transacted Price (per unit)]]</f>
        <v>35</v>
      </c>
      <c r="I145" s="14"/>
    </row>
    <row r="146" spans="1:9" ht="15.75" customHeight="1" x14ac:dyDescent="0.25">
      <c r="A146" s="16" t="s">
        <v>28</v>
      </c>
      <c r="B146" s="21">
        <v>44646</v>
      </c>
      <c r="C146" s="16" t="s">
        <v>4</v>
      </c>
      <c r="D146" s="22">
        <v>2.37</v>
      </c>
      <c r="E146" s="18">
        <v>70</v>
      </c>
      <c r="F146" s="18">
        <v>2.6700000000000001E-3</v>
      </c>
      <c r="G146" s="16" t="s">
        <v>80</v>
      </c>
      <c r="H146" s="20">
        <f>InputData[[#This Row],[Transacted Units]]*InputData[[#This Row],[Transacted Price (per unit)]]</f>
        <v>165.9</v>
      </c>
      <c r="I146" s="14"/>
    </row>
    <row r="147" spans="1:9" ht="15.75" customHeight="1" x14ac:dyDescent="0.25">
      <c r="A147" s="16" t="s">
        <v>28</v>
      </c>
      <c r="B147" s="21">
        <v>44646</v>
      </c>
      <c r="C147" s="16" t="s">
        <v>4</v>
      </c>
      <c r="D147" s="22">
        <v>52.63</v>
      </c>
      <c r="E147" s="18">
        <v>70</v>
      </c>
      <c r="F147" s="18">
        <v>0.52629999999999999</v>
      </c>
      <c r="G147" s="16" t="s">
        <v>80</v>
      </c>
      <c r="H147" s="20">
        <f>InputData[[#This Row],[Transacted Units]]*InputData[[#This Row],[Transacted Price (per unit)]]</f>
        <v>3684.1000000000004</v>
      </c>
      <c r="I147" s="14"/>
    </row>
    <row r="148" spans="1:9" ht="15.75" customHeight="1" x14ac:dyDescent="0.25">
      <c r="A148" s="16" t="s">
        <v>28</v>
      </c>
      <c r="B148" s="21">
        <v>44646</v>
      </c>
      <c r="C148" s="16" t="s">
        <v>4</v>
      </c>
      <c r="D148" s="22">
        <v>1.34</v>
      </c>
      <c r="E148" s="18">
        <v>70</v>
      </c>
      <c r="F148" s="18">
        <v>1.34E-3</v>
      </c>
      <c r="G148" s="16" t="s">
        <v>80</v>
      </c>
      <c r="H148" s="20">
        <f>InputData[[#This Row],[Transacted Units]]*InputData[[#This Row],[Transacted Price (per unit)]]</f>
        <v>93.800000000000011</v>
      </c>
      <c r="I148" s="14"/>
    </row>
    <row r="149" spans="1:9" ht="15.75" customHeight="1" x14ac:dyDescent="0.25">
      <c r="A149" s="16" t="s">
        <v>28</v>
      </c>
      <c r="B149" s="21">
        <v>44646</v>
      </c>
      <c r="C149" s="16" t="s">
        <v>3</v>
      </c>
      <c r="D149" s="22">
        <v>12.99</v>
      </c>
      <c r="E149" s="18">
        <v>88</v>
      </c>
      <c r="F149" s="18">
        <v>1.299E-2</v>
      </c>
      <c r="G149" s="16" t="s">
        <v>80</v>
      </c>
      <c r="H149" s="20">
        <f>InputData[[#This Row],[Transacted Units]]*InputData[[#This Row],[Transacted Price (per unit)]]</f>
        <v>1143.1200000000001</v>
      </c>
      <c r="I149" s="14"/>
    </row>
    <row r="150" spans="1:9" ht="15.75" customHeight="1" x14ac:dyDescent="0.25">
      <c r="A150" s="16" t="s">
        <v>28</v>
      </c>
      <c r="B150" s="21">
        <v>44646</v>
      </c>
      <c r="C150" s="16" t="s">
        <v>4</v>
      </c>
      <c r="D150" s="22">
        <v>0.13</v>
      </c>
      <c r="E150" s="18">
        <v>88</v>
      </c>
      <c r="F150" s="18">
        <v>1.2999999999999999E-4</v>
      </c>
      <c r="G150" s="16" t="s">
        <v>80</v>
      </c>
      <c r="H150" s="20">
        <f>InputData[[#This Row],[Transacted Units]]*InputData[[#This Row],[Transacted Price (per unit)]]</f>
        <v>11.440000000000001</v>
      </c>
      <c r="I150" s="14"/>
    </row>
    <row r="151" spans="1:9" ht="15.75" customHeight="1" x14ac:dyDescent="0.25">
      <c r="A151" s="16" t="s">
        <v>28</v>
      </c>
      <c r="B151" s="21">
        <v>44646</v>
      </c>
      <c r="C151" s="16" t="s">
        <v>4</v>
      </c>
      <c r="D151" s="22">
        <v>16.37</v>
      </c>
      <c r="E151" s="18">
        <v>88</v>
      </c>
      <c r="F151" s="18">
        <v>1.6369999999999999E-2</v>
      </c>
      <c r="G151" s="16" t="s">
        <v>80</v>
      </c>
      <c r="H151" s="20">
        <f>InputData[[#This Row],[Transacted Units]]*InputData[[#This Row],[Transacted Price (per unit)]]</f>
        <v>1440.5600000000002</v>
      </c>
      <c r="I151" s="14"/>
    </row>
    <row r="152" spans="1:9" ht="15.75" customHeight="1" x14ac:dyDescent="0.25">
      <c r="A152" s="16" t="s">
        <v>28</v>
      </c>
      <c r="B152" s="21">
        <v>44646</v>
      </c>
      <c r="C152" s="16" t="s">
        <v>4</v>
      </c>
      <c r="D152" s="22">
        <v>20.51</v>
      </c>
      <c r="E152" s="18">
        <v>88</v>
      </c>
      <c r="F152" s="18">
        <v>2.051E-2</v>
      </c>
      <c r="G152" s="16" t="s">
        <v>80</v>
      </c>
      <c r="H152" s="20">
        <f>InputData[[#This Row],[Transacted Units]]*InputData[[#This Row],[Transacted Price (per unit)]]</f>
        <v>1804.88</v>
      </c>
      <c r="I152" s="14"/>
    </row>
    <row r="153" spans="1:9" ht="15.75" customHeight="1" x14ac:dyDescent="0.25">
      <c r="A153" s="16" t="s">
        <v>28</v>
      </c>
      <c r="B153" s="21">
        <v>44646</v>
      </c>
      <c r="C153" s="16" t="s">
        <v>3</v>
      </c>
      <c r="D153" s="22">
        <v>11.66</v>
      </c>
      <c r="E153" s="18">
        <v>90</v>
      </c>
      <c r="F153" s="18">
        <v>1.4999999999999999E-2</v>
      </c>
      <c r="G153" s="16" t="s">
        <v>80</v>
      </c>
      <c r="H153" s="20">
        <f>InputData[[#This Row],[Transacted Units]]*InputData[[#This Row],[Transacted Price (per unit)]]</f>
        <v>1049.4000000000001</v>
      </c>
      <c r="I153" s="14"/>
    </row>
    <row r="154" spans="1:9" ht="15.75" customHeight="1" x14ac:dyDescent="0.25">
      <c r="A154" s="16" t="s">
        <v>28</v>
      </c>
      <c r="B154" s="21">
        <v>44646</v>
      </c>
      <c r="C154" s="16" t="s">
        <v>3</v>
      </c>
      <c r="D154" s="22">
        <v>18.61</v>
      </c>
      <c r="E154" s="18">
        <v>90</v>
      </c>
      <c r="F154" s="18">
        <v>1.4999999999999999E-2</v>
      </c>
      <c r="G154" s="16" t="s">
        <v>80</v>
      </c>
      <c r="H154" s="20">
        <f>InputData[[#This Row],[Transacted Units]]*InputData[[#This Row],[Transacted Price (per unit)]]</f>
        <v>1674.8999999999999</v>
      </c>
      <c r="I154" s="14"/>
    </row>
    <row r="155" spans="1:9" ht="15.75" customHeight="1" x14ac:dyDescent="0.25">
      <c r="A155" s="16" t="s">
        <v>28</v>
      </c>
      <c r="B155" s="21">
        <v>44646</v>
      </c>
      <c r="C155" s="16" t="s">
        <v>3</v>
      </c>
      <c r="D155" s="22">
        <v>19.73</v>
      </c>
      <c r="E155" s="18">
        <v>90</v>
      </c>
      <c r="F155" s="18">
        <v>1.7757000000000001</v>
      </c>
      <c r="G155" s="16" t="s">
        <v>80</v>
      </c>
      <c r="H155" s="20">
        <f>InputData[[#This Row],[Transacted Units]]*InputData[[#This Row],[Transacted Price (per unit)]]</f>
        <v>1775.7</v>
      </c>
      <c r="I155" s="14"/>
    </row>
    <row r="156" spans="1:9" ht="15.75" customHeight="1" x14ac:dyDescent="0.25">
      <c r="A156" s="16" t="s">
        <v>28</v>
      </c>
      <c r="B156" s="21">
        <v>44646</v>
      </c>
      <c r="C156" s="16" t="s">
        <v>3</v>
      </c>
      <c r="D156" s="22">
        <v>0.27</v>
      </c>
      <c r="E156" s="18">
        <v>91</v>
      </c>
      <c r="F156" s="18">
        <v>1E-3</v>
      </c>
      <c r="G156" s="16" t="s">
        <v>80</v>
      </c>
      <c r="H156" s="20">
        <f>InputData[[#This Row],[Transacted Units]]*InputData[[#This Row],[Transacted Price (per unit)]]</f>
        <v>24.57</v>
      </c>
      <c r="I156" s="14"/>
    </row>
    <row r="157" spans="1:9" ht="15.75" customHeight="1" x14ac:dyDescent="0.25">
      <c r="A157" s="16" t="s">
        <v>28</v>
      </c>
      <c r="B157" s="21">
        <v>44646</v>
      </c>
      <c r="C157" s="16" t="s">
        <v>3</v>
      </c>
      <c r="D157" s="22">
        <v>2.0299999999999998</v>
      </c>
      <c r="E157" s="18">
        <v>91</v>
      </c>
      <c r="F157" s="18">
        <v>1E-3</v>
      </c>
      <c r="G157" s="16" t="s">
        <v>80</v>
      </c>
      <c r="H157" s="20">
        <f>InputData[[#This Row],[Transacted Units]]*InputData[[#This Row],[Transacted Price (per unit)]]</f>
        <v>184.73</v>
      </c>
      <c r="I157" s="14"/>
    </row>
    <row r="158" spans="1:9" ht="15.75" customHeight="1" x14ac:dyDescent="0.25">
      <c r="A158" s="16" t="s">
        <v>28</v>
      </c>
      <c r="B158" s="21">
        <v>44646</v>
      </c>
      <c r="C158" s="16" t="s">
        <v>3</v>
      </c>
      <c r="D158" s="22">
        <v>2.08</v>
      </c>
      <c r="E158" s="18">
        <v>91</v>
      </c>
      <c r="F158" s="18">
        <v>1E-3</v>
      </c>
      <c r="G158" s="16" t="s">
        <v>80</v>
      </c>
      <c r="H158" s="20">
        <f>InputData[[#This Row],[Transacted Units]]*InputData[[#This Row],[Transacted Price (per unit)]]</f>
        <v>189.28</v>
      </c>
      <c r="I158" s="14"/>
    </row>
    <row r="159" spans="1:9" ht="15.75" customHeight="1" x14ac:dyDescent="0.25">
      <c r="A159" s="16" t="s">
        <v>28</v>
      </c>
      <c r="B159" s="21">
        <v>44646</v>
      </c>
      <c r="C159" s="16" t="s">
        <v>4</v>
      </c>
      <c r="D159" s="22">
        <v>0.67</v>
      </c>
      <c r="E159" s="18">
        <v>91</v>
      </c>
      <c r="F159" s="18">
        <v>1E-3</v>
      </c>
      <c r="G159" s="16" t="s">
        <v>80</v>
      </c>
      <c r="H159" s="20">
        <f>InputData[[#This Row],[Transacted Units]]*InputData[[#This Row],[Transacted Price (per unit)]]</f>
        <v>60.970000000000006</v>
      </c>
      <c r="I159" s="14"/>
    </row>
    <row r="160" spans="1:9" ht="15.75" customHeight="1" x14ac:dyDescent="0.25">
      <c r="A160" s="16" t="s">
        <v>28</v>
      </c>
      <c r="B160" s="21">
        <v>44646</v>
      </c>
      <c r="C160" s="16" t="s">
        <v>4</v>
      </c>
      <c r="D160" s="22">
        <v>0.55000000000000004</v>
      </c>
      <c r="E160" s="18">
        <v>91</v>
      </c>
      <c r="F160" s="18">
        <v>1E-3</v>
      </c>
      <c r="G160" s="16" t="s">
        <v>80</v>
      </c>
      <c r="H160" s="20">
        <f>InputData[[#This Row],[Transacted Units]]*InputData[[#This Row],[Transacted Price (per unit)]]</f>
        <v>50.050000000000004</v>
      </c>
      <c r="I160" s="14"/>
    </row>
    <row r="161" spans="1:9" ht="15.75" customHeight="1" x14ac:dyDescent="0.25">
      <c r="A161" s="16" t="s">
        <v>28</v>
      </c>
      <c r="B161" s="21">
        <v>44646</v>
      </c>
      <c r="C161" s="16" t="s">
        <v>4</v>
      </c>
      <c r="D161" s="22">
        <v>0.97</v>
      </c>
      <c r="E161" s="18">
        <v>91</v>
      </c>
      <c r="F161" s="18">
        <v>1E-3</v>
      </c>
      <c r="G161" s="16" t="s">
        <v>80</v>
      </c>
      <c r="H161" s="20">
        <f>InputData[[#This Row],[Transacted Units]]*InputData[[#This Row],[Transacted Price (per unit)]]</f>
        <v>88.27</v>
      </c>
      <c r="I161" s="14"/>
    </row>
    <row r="162" spans="1:9" ht="15.75" customHeight="1" x14ac:dyDescent="0.25">
      <c r="A162" s="16" t="s">
        <v>28</v>
      </c>
      <c r="B162" s="21">
        <v>44646</v>
      </c>
      <c r="C162" s="16" t="s">
        <v>4</v>
      </c>
      <c r="D162" s="22">
        <v>14.72</v>
      </c>
      <c r="E162" s="18">
        <v>91</v>
      </c>
      <c r="F162" s="18">
        <v>1E-3</v>
      </c>
      <c r="G162" s="16" t="s">
        <v>80</v>
      </c>
      <c r="H162" s="20">
        <f>InputData[[#This Row],[Transacted Units]]*InputData[[#This Row],[Transacted Price (per unit)]]</f>
        <v>1339.52</v>
      </c>
      <c r="I162" s="14"/>
    </row>
    <row r="163" spans="1:9" ht="15.75" customHeight="1" x14ac:dyDescent="0.25">
      <c r="A163" s="16" t="s">
        <v>28</v>
      </c>
      <c r="B163" s="21">
        <v>44646</v>
      </c>
      <c r="C163" s="16" t="s">
        <v>4</v>
      </c>
      <c r="D163" s="22">
        <v>4.29</v>
      </c>
      <c r="E163" s="18">
        <v>91</v>
      </c>
      <c r="F163" s="18">
        <v>1E-3</v>
      </c>
      <c r="G163" s="16" t="s">
        <v>80</v>
      </c>
      <c r="H163" s="20">
        <f>InputData[[#This Row],[Transacted Units]]*InputData[[#This Row],[Transacted Price (per unit)]]</f>
        <v>390.39</v>
      </c>
      <c r="I163" s="14"/>
    </row>
    <row r="164" spans="1:9" ht="15.75" customHeight="1" x14ac:dyDescent="0.25">
      <c r="A164" s="16" t="s">
        <v>28</v>
      </c>
      <c r="B164" s="21">
        <v>44646</v>
      </c>
      <c r="C164" s="16" t="s">
        <v>4</v>
      </c>
      <c r="D164" s="22">
        <v>2.46</v>
      </c>
      <c r="E164" s="18">
        <v>91</v>
      </c>
      <c r="F164" s="18">
        <v>1E-3</v>
      </c>
      <c r="G164" s="16" t="s">
        <v>80</v>
      </c>
      <c r="H164" s="20">
        <f>InputData[[#This Row],[Transacted Units]]*InputData[[#This Row],[Transacted Price (per unit)]]</f>
        <v>223.85999999999999</v>
      </c>
      <c r="I164" s="14"/>
    </row>
    <row r="165" spans="1:9" ht="15.75" customHeight="1" x14ac:dyDescent="0.25">
      <c r="A165" s="16" t="s">
        <v>28</v>
      </c>
      <c r="B165" s="21">
        <v>44646</v>
      </c>
      <c r="C165" s="16" t="s">
        <v>4</v>
      </c>
      <c r="D165" s="22">
        <v>8.5</v>
      </c>
      <c r="E165" s="18">
        <v>91</v>
      </c>
      <c r="F165" s="18">
        <v>1E-3</v>
      </c>
      <c r="G165" s="16" t="s">
        <v>80</v>
      </c>
      <c r="H165" s="20">
        <f>InputData[[#This Row],[Transacted Units]]*InputData[[#This Row],[Transacted Price (per unit)]]</f>
        <v>773.5</v>
      </c>
      <c r="I165" s="14"/>
    </row>
    <row r="166" spans="1:9" ht="15.75" customHeight="1" x14ac:dyDescent="0.25">
      <c r="A166" s="16" t="s">
        <v>28</v>
      </c>
      <c r="B166" s="21">
        <v>44646</v>
      </c>
      <c r="C166" s="16" t="s">
        <v>4</v>
      </c>
      <c r="D166" s="22">
        <v>6.86</v>
      </c>
      <c r="E166" s="18">
        <v>91</v>
      </c>
      <c r="F166" s="18">
        <v>1E-3</v>
      </c>
      <c r="G166" s="16" t="s">
        <v>80</v>
      </c>
      <c r="H166" s="20">
        <f>InputData[[#This Row],[Transacted Units]]*InputData[[#This Row],[Transacted Price (per unit)]]</f>
        <v>624.26</v>
      </c>
      <c r="I166" s="14"/>
    </row>
    <row r="167" spans="1:9" ht="15.75" customHeight="1" x14ac:dyDescent="0.25">
      <c r="A167" s="16" t="s">
        <v>28</v>
      </c>
      <c r="B167" s="21">
        <v>44646</v>
      </c>
      <c r="C167" s="16" t="s">
        <v>4</v>
      </c>
      <c r="D167" s="22">
        <v>3.6</v>
      </c>
      <c r="E167" s="18">
        <v>91</v>
      </c>
      <c r="F167" s="18">
        <v>1E-3</v>
      </c>
      <c r="G167" s="16" t="s">
        <v>80</v>
      </c>
      <c r="H167" s="20">
        <f>InputData[[#This Row],[Transacted Units]]*InputData[[#This Row],[Transacted Price (per unit)]]</f>
        <v>327.60000000000002</v>
      </c>
      <c r="I167" s="14"/>
    </row>
    <row r="168" spans="1:9" ht="15.75" customHeight="1" x14ac:dyDescent="0.25">
      <c r="A168" s="16" t="s">
        <v>28</v>
      </c>
      <c r="B168" s="21">
        <v>44646</v>
      </c>
      <c r="C168" s="16" t="s">
        <v>4</v>
      </c>
      <c r="D168" s="22">
        <v>0.12</v>
      </c>
      <c r="E168" s="18">
        <v>66.66</v>
      </c>
      <c r="F168" s="18">
        <v>1E-3</v>
      </c>
      <c r="G168" s="16" t="s">
        <v>80</v>
      </c>
      <c r="H168" s="20">
        <f>InputData[[#This Row],[Transacted Units]]*InputData[[#This Row],[Transacted Price (per unit)]]</f>
        <v>7.9991999999999992</v>
      </c>
      <c r="I168" s="14"/>
    </row>
    <row r="169" spans="1:9" ht="15.75" customHeight="1" x14ac:dyDescent="0.25">
      <c r="A169" s="16" t="s">
        <v>28</v>
      </c>
      <c r="B169" s="21">
        <v>44646</v>
      </c>
      <c r="C169" s="16" t="s">
        <v>4</v>
      </c>
      <c r="D169" s="22">
        <v>0.18</v>
      </c>
      <c r="E169" s="18">
        <v>66.66</v>
      </c>
      <c r="F169" s="18">
        <v>1E-3</v>
      </c>
      <c r="G169" s="16" t="s">
        <v>80</v>
      </c>
      <c r="H169" s="20">
        <f>InputData[[#This Row],[Transacted Units]]*InputData[[#This Row],[Transacted Price (per unit)]]</f>
        <v>11.998799999999999</v>
      </c>
      <c r="I169" s="14"/>
    </row>
    <row r="170" spans="1:9" ht="15.75" customHeight="1" x14ac:dyDescent="0.25">
      <c r="A170" s="16" t="s">
        <v>28</v>
      </c>
      <c r="B170" s="21">
        <v>44646</v>
      </c>
      <c r="C170" s="16" t="s">
        <v>3</v>
      </c>
      <c r="D170" s="22">
        <v>0.28999999999999998</v>
      </c>
      <c r="E170" s="18">
        <v>70</v>
      </c>
      <c r="F170" s="18">
        <v>1E-3</v>
      </c>
      <c r="G170" s="16" t="s">
        <v>80</v>
      </c>
      <c r="H170" s="20">
        <f>InputData[[#This Row],[Transacted Units]]*InputData[[#This Row],[Transacted Price (per unit)]]</f>
        <v>20.299999999999997</v>
      </c>
      <c r="I170" s="14"/>
    </row>
    <row r="171" spans="1:9" ht="15.75" customHeight="1" x14ac:dyDescent="0.25">
      <c r="A171" s="16" t="s">
        <v>28</v>
      </c>
      <c r="B171" s="21">
        <v>44646</v>
      </c>
      <c r="C171" s="16" t="s">
        <v>4</v>
      </c>
      <c r="D171" s="22">
        <v>17.04</v>
      </c>
      <c r="E171" s="18">
        <v>92</v>
      </c>
      <c r="F171" s="18">
        <v>1E-3</v>
      </c>
      <c r="G171" s="16" t="s">
        <v>80</v>
      </c>
      <c r="H171" s="20">
        <f>InputData[[#This Row],[Transacted Units]]*InputData[[#This Row],[Transacted Price (per unit)]]</f>
        <v>1567.6799999999998</v>
      </c>
      <c r="I171" s="14"/>
    </row>
    <row r="172" spans="1:9" ht="15.75" customHeight="1" x14ac:dyDescent="0.25">
      <c r="A172" s="16" t="s">
        <v>28</v>
      </c>
      <c r="B172" s="21">
        <v>44646</v>
      </c>
      <c r="C172" s="16" t="s">
        <v>4</v>
      </c>
      <c r="D172" s="22">
        <v>2.96</v>
      </c>
      <c r="E172" s="18">
        <v>92</v>
      </c>
      <c r="F172" s="18">
        <v>1E-3</v>
      </c>
      <c r="G172" s="16" t="s">
        <v>80</v>
      </c>
      <c r="H172" s="20">
        <f>InputData[[#This Row],[Transacted Units]]*InputData[[#This Row],[Transacted Price (per unit)]]</f>
        <v>272.32</v>
      </c>
      <c r="I172" s="14"/>
    </row>
    <row r="173" spans="1:9" ht="15.75" customHeight="1" x14ac:dyDescent="0.25">
      <c r="A173" s="16" t="s">
        <v>29</v>
      </c>
      <c r="B173" s="21">
        <v>44522</v>
      </c>
      <c r="C173" s="16" t="s">
        <v>4</v>
      </c>
      <c r="D173" s="17">
        <v>7.8E-2</v>
      </c>
      <c r="E173" s="18">
        <v>777.6</v>
      </c>
      <c r="F173" s="18">
        <v>7.7999999999999999E-5</v>
      </c>
      <c r="G173" s="16" t="s">
        <v>80</v>
      </c>
      <c r="H173" s="20">
        <f>InputData[[#This Row],[Transacted Units]]*InputData[[#This Row],[Transacted Price (per unit)]]</f>
        <v>60.652799999999999</v>
      </c>
      <c r="I173" s="14"/>
    </row>
    <row r="174" spans="1:9" ht="15.75" customHeight="1" x14ac:dyDescent="0.25">
      <c r="A174" s="16" t="s">
        <v>29</v>
      </c>
      <c r="B174" s="21">
        <v>44522</v>
      </c>
      <c r="C174" s="16" t="s">
        <v>4</v>
      </c>
      <c r="D174" s="17">
        <v>3.9E-2</v>
      </c>
      <c r="E174" s="18">
        <v>783.5</v>
      </c>
      <c r="F174" s="18">
        <v>3.8999999999999999E-5</v>
      </c>
      <c r="G174" s="16" t="s">
        <v>80</v>
      </c>
      <c r="H174" s="20">
        <f>InputData[[#This Row],[Transacted Units]]*InputData[[#This Row],[Transacted Price (per unit)]]</f>
        <v>30.5565</v>
      </c>
      <c r="I174" s="14"/>
    </row>
    <row r="175" spans="1:9" ht="15.75" customHeight="1" x14ac:dyDescent="0.25">
      <c r="A175" s="16" t="s">
        <v>29</v>
      </c>
      <c r="B175" s="21">
        <v>44522</v>
      </c>
      <c r="C175" s="16" t="s">
        <v>4</v>
      </c>
      <c r="D175" s="17">
        <v>0.02</v>
      </c>
      <c r="E175" s="18">
        <v>786.7</v>
      </c>
      <c r="F175" s="18">
        <v>2.0000000000000002E-5</v>
      </c>
      <c r="G175" s="16" t="s">
        <v>80</v>
      </c>
      <c r="H175" s="20">
        <f>InputData[[#This Row],[Transacted Units]]*InputData[[#This Row],[Transacted Price (per unit)]]</f>
        <v>15.734000000000002</v>
      </c>
      <c r="I175" s="14"/>
    </row>
    <row r="176" spans="1:9" ht="15.75" customHeight="1" x14ac:dyDescent="0.25">
      <c r="A176" s="16" t="s">
        <v>29</v>
      </c>
      <c r="B176" s="21">
        <v>44522</v>
      </c>
      <c r="C176" s="16" t="s">
        <v>4</v>
      </c>
      <c r="D176" s="17">
        <v>0.02</v>
      </c>
      <c r="E176" s="18">
        <v>787.6</v>
      </c>
      <c r="F176" s="18">
        <v>2.0000000000000002E-5</v>
      </c>
      <c r="G176" s="16" t="s">
        <v>80</v>
      </c>
      <c r="H176" s="20">
        <f>InputData[[#This Row],[Transacted Units]]*InputData[[#This Row],[Transacted Price (per unit)]]</f>
        <v>15.752000000000001</v>
      </c>
      <c r="I176" s="14"/>
    </row>
    <row r="177" spans="1:9" ht="15.75" customHeight="1" x14ac:dyDescent="0.25">
      <c r="A177" s="16" t="s">
        <v>29</v>
      </c>
      <c r="B177" s="21">
        <v>44517</v>
      </c>
      <c r="C177" s="16" t="s">
        <v>4</v>
      </c>
      <c r="D177" s="17">
        <v>1.9350000000000001</v>
      </c>
      <c r="E177" s="18">
        <v>775</v>
      </c>
      <c r="F177" s="18">
        <v>1.9350000000000001E-3</v>
      </c>
      <c r="G177" s="16" t="s">
        <v>80</v>
      </c>
      <c r="H177" s="20">
        <f>InputData[[#This Row],[Transacted Units]]*InputData[[#This Row],[Transacted Price (per unit)]]</f>
        <v>1499.625</v>
      </c>
      <c r="I177" s="14"/>
    </row>
    <row r="178" spans="1:9" ht="15.75" customHeight="1" x14ac:dyDescent="0.25">
      <c r="A178" s="16" t="s">
        <v>29</v>
      </c>
      <c r="B178" s="21">
        <v>44516</v>
      </c>
      <c r="C178" s="16" t="s">
        <v>4</v>
      </c>
      <c r="D178" s="17">
        <v>2.0990000000000002</v>
      </c>
      <c r="E178" s="18">
        <v>834.8</v>
      </c>
      <c r="F178" s="18">
        <v>2.0990000000000002E-3</v>
      </c>
      <c r="G178" s="16" t="s">
        <v>80</v>
      </c>
      <c r="H178" s="20">
        <f>InputData[[#This Row],[Transacted Units]]*InputData[[#This Row],[Transacted Price (per unit)]]</f>
        <v>1752.2452000000001</v>
      </c>
      <c r="I178" s="14"/>
    </row>
    <row r="179" spans="1:9" ht="15.75" customHeight="1" x14ac:dyDescent="0.25">
      <c r="A179" s="16" t="s">
        <v>29</v>
      </c>
      <c r="B179" s="21">
        <v>44505</v>
      </c>
      <c r="C179" s="16" t="s">
        <v>4</v>
      </c>
      <c r="D179" s="17">
        <v>2.5609999999999999</v>
      </c>
      <c r="E179" s="18">
        <v>756.8</v>
      </c>
      <c r="F179" s="18">
        <v>2.5609999999999999E-3</v>
      </c>
      <c r="G179" s="16" t="s">
        <v>80</v>
      </c>
      <c r="H179" s="20">
        <f>InputData[[#This Row],[Transacted Units]]*InputData[[#This Row],[Transacted Price (per unit)]]</f>
        <v>1938.1647999999998</v>
      </c>
      <c r="I179" s="14"/>
    </row>
    <row r="180" spans="1:9" ht="15.75" customHeight="1" x14ac:dyDescent="0.25">
      <c r="A180" s="16" t="s">
        <v>29</v>
      </c>
      <c r="B180" s="21">
        <v>44502</v>
      </c>
      <c r="C180" s="16" t="s">
        <v>4</v>
      </c>
      <c r="D180" s="17">
        <v>7.9000000000000001E-2</v>
      </c>
      <c r="E180" s="18">
        <v>758.7</v>
      </c>
      <c r="F180" s="18">
        <v>7.8999999999999996E-5</v>
      </c>
      <c r="G180" s="16" t="s">
        <v>80</v>
      </c>
      <c r="H180" s="20">
        <f>InputData[[#This Row],[Transacted Units]]*InputData[[#This Row],[Transacted Price (per unit)]]</f>
        <v>59.937300000000008</v>
      </c>
      <c r="I180" s="14"/>
    </row>
    <row r="181" spans="1:9" ht="15.75" customHeight="1" x14ac:dyDescent="0.25">
      <c r="A181" s="16" t="s">
        <v>29</v>
      </c>
      <c r="B181" s="21">
        <v>44502</v>
      </c>
      <c r="C181" s="16" t="s">
        <v>4</v>
      </c>
      <c r="D181" s="17">
        <v>0.92100000000000004</v>
      </c>
      <c r="E181" s="18">
        <v>758.7</v>
      </c>
      <c r="F181" s="18">
        <v>9.2100000000000005E-4</v>
      </c>
      <c r="G181" s="16" t="s">
        <v>80</v>
      </c>
      <c r="H181" s="20">
        <f>InputData[[#This Row],[Transacted Units]]*InputData[[#This Row],[Transacted Price (per unit)]]</f>
        <v>698.76270000000011</v>
      </c>
      <c r="I181" s="14"/>
    </row>
    <row r="182" spans="1:9" ht="15.75" customHeight="1" x14ac:dyDescent="0.25">
      <c r="A182" s="16" t="s">
        <v>29</v>
      </c>
      <c r="B182" s="21">
        <v>44494</v>
      </c>
      <c r="C182" s="16" t="s">
        <v>4</v>
      </c>
      <c r="D182" s="17">
        <v>0.217</v>
      </c>
      <c r="E182" s="18">
        <v>645.4</v>
      </c>
      <c r="F182" s="18">
        <v>2.1699999999999999E-4</v>
      </c>
      <c r="G182" s="16" t="s">
        <v>80</v>
      </c>
      <c r="H182" s="20">
        <f>InputData[[#This Row],[Transacted Units]]*InputData[[#This Row],[Transacted Price (per unit)]]</f>
        <v>140.05179999999999</v>
      </c>
      <c r="I182" s="14"/>
    </row>
    <row r="183" spans="1:9" ht="15.75" customHeight="1" x14ac:dyDescent="0.25">
      <c r="A183" s="16" t="s">
        <v>29</v>
      </c>
      <c r="B183" s="21">
        <v>44494</v>
      </c>
      <c r="C183" s="16" t="s">
        <v>4</v>
      </c>
      <c r="D183" s="17">
        <v>0.155</v>
      </c>
      <c r="E183" s="18">
        <v>649</v>
      </c>
      <c r="F183" s="18">
        <v>1.55E-4</v>
      </c>
      <c r="G183" s="16" t="s">
        <v>80</v>
      </c>
      <c r="H183" s="20">
        <f>InputData[[#This Row],[Transacted Units]]*InputData[[#This Row],[Transacted Price (per unit)]]</f>
        <v>100.595</v>
      </c>
      <c r="I183" s="14"/>
    </row>
    <row r="184" spans="1:9" ht="15.75" customHeight="1" x14ac:dyDescent="0.25">
      <c r="A184" s="16" t="s">
        <v>29</v>
      </c>
      <c r="B184" s="21">
        <v>44494</v>
      </c>
      <c r="C184" s="16" t="s">
        <v>4</v>
      </c>
      <c r="D184" s="17">
        <v>5.8000000000000003E-2</v>
      </c>
      <c r="E184" s="18">
        <v>651.70000000000005</v>
      </c>
      <c r="F184" s="18">
        <v>5.8E-5</v>
      </c>
      <c r="G184" s="16" t="s">
        <v>80</v>
      </c>
      <c r="H184" s="20">
        <f>InputData[[#This Row],[Transacted Units]]*InputData[[#This Row],[Transacted Price (per unit)]]</f>
        <v>37.798600000000008</v>
      </c>
      <c r="I184" s="14"/>
    </row>
    <row r="185" spans="1:9" ht="15.75" customHeight="1" x14ac:dyDescent="0.25">
      <c r="A185" s="16" t="s">
        <v>29</v>
      </c>
      <c r="B185" s="21">
        <v>44494</v>
      </c>
      <c r="C185" s="16" t="s">
        <v>4</v>
      </c>
      <c r="D185" s="17">
        <v>1.9E-2</v>
      </c>
      <c r="E185" s="18">
        <v>651.6</v>
      </c>
      <c r="F185" s="18">
        <v>1.9000000000000001E-5</v>
      </c>
      <c r="G185" s="16" t="s">
        <v>80</v>
      </c>
      <c r="H185" s="20">
        <f>InputData[[#This Row],[Transacted Units]]*InputData[[#This Row],[Transacted Price (per unit)]]</f>
        <v>12.3804</v>
      </c>
      <c r="I185" s="14"/>
    </row>
    <row r="186" spans="1:9" ht="15.75" customHeight="1" x14ac:dyDescent="0.25">
      <c r="A186" s="16" t="s">
        <v>29</v>
      </c>
      <c r="B186" s="21">
        <v>44494</v>
      </c>
      <c r="C186" s="16" t="s">
        <v>4</v>
      </c>
      <c r="D186" s="17">
        <v>7.8E-2</v>
      </c>
      <c r="E186" s="18">
        <v>643.1</v>
      </c>
      <c r="F186" s="18">
        <v>7.7999999999999999E-5</v>
      </c>
      <c r="G186" s="16" t="s">
        <v>80</v>
      </c>
      <c r="H186" s="20">
        <f>InputData[[#This Row],[Transacted Units]]*InputData[[#This Row],[Transacted Price (per unit)]]</f>
        <v>50.161799999999999</v>
      </c>
      <c r="I186" s="14"/>
    </row>
    <row r="187" spans="1:9" ht="15.75" customHeight="1" x14ac:dyDescent="0.25">
      <c r="A187" s="16" t="s">
        <v>29</v>
      </c>
      <c r="B187" s="21">
        <v>44493</v>
      </c>
      <c r="C187" s="16" t="s">
        <v>4</v>
      </c>
      <c r="D187" s="17">
        <v>0.32900000000000001</v>
      </c>
      <c r="E187" s="18">
        <v>631.1</v>
      </c>
      <c r="F187" s="18">
        <v>3.2899999999999997E-4</v>
      </c>
      <c r="G187" s="16" t="s">
        <v>80</v>
      </c>
      <c r="H187" s="20">
        <f>InputData[[#This Row],[Transacted Units]]*InputData[[#This Row],[Transacted Price (per unit)]]</f>
        <v>207.63190000000003</v>
      </c>
      <c r="I187" s="14"/>
    </row>
    <row r="188" spans="1:9" ht="15.75" customHeight="1" x14ac:dyDescent="0.25">
      <c r="A188" s="16" t="s">
        <v>29</v>
      </c>
      <c r="B188" s="21">
        <v>44493</v>
      </c>
      <c r="C188" s="16" t="s">
        <v>4</v>
      </c>
      <c r="D188" s="17">
        <v>0.27200000000000002</v>
      </c>
      <c r="E188" s="18">
        <v>635.9</v>
      </c>
      <c r="F188" s="18">
        <v>2.72E-4</v>
      </c>
      <c r="G188" s="16" t="s">
        <v>80</v>
      </c>
      <c r="H188" s="20">
        <f>InputData[[#This Row],[Transacted Units]]*InputData[[#This Row],[Transacted Price (per unit)]]</f>
        <v>172.9648</v>
      </c>
      <c r="I188" s="14"/>
    </row>
    <row r="189" spans="1:9" ht="15.75" customHeight="1" x14ac:dyDescent="0.25">
      <c r="A189" s="16" t="s">
        <v>29</v>
      </c>
      <c r="B189" s="21">
        <v>44493</v>
      </c>
      <c r="C189" s="16" t="s">
        <v>4</v>
      </c>
      <c r="D189" s="17">
        <v>0.22500000000000001</v>
      </c>
      <c r="E189" s="18">
        <v>640.20000000000005</v>
      </c>
      <c r="F189" s="18">
        <v>2.2499999999999999E-4</v>
      </c>
      <c r="G189" s="16" t="s">
        <v>80</v>
      </c>
      <c r="H189" s="20">
        <f>InputData[[#This Row],[Transacted Units]]*InputData[[#This Row],[Transacted Price (per unit)]]</f>
        <v>144.04500000000002</v>
      </c>
      <c r="I189" s="14"/>
    </row>
    <row r="190" spans="1:9" ht="15.75" customHeight="1" x14ac:dyDescent="0.25">
      <c r="A190" s="16" t="s">
        <v>29</v>
      </c>
      <c r="B190" s="21">
        <v>44493</v>
      </c>
      <c r="C190" s="16" t="s">
        <v>4</v>
      </c>
      <c r="D190" s="17">
        <v>0.187</v>
      </c>
      <c r="E190" s="18">
        <v>644.20000000000005</v>
      </c>
      <c r="F190" s="18">
        <v>1.8699999999999999E-4</v>
      </c>
      <c r="G190" s="16" t="s">
        <v>80</v>
      </c>
      <c r="H190" s="20">
        <f>InputData[[#This Row],[Transacted Units]]*InputData[[#This Row],[Transacted Price (per unit)]]</f>
        <v>120.4654</v>
      </c>
      <c r="I190" s="14"/>
    </row>
    <row r="191" spans="1:9" ht="15.75" customHeight="1" x14ac:dyDescent="0.25">
      <c r="A191" s="16" t="s">
        <v>29</v>
      </c>
      <c r="B191" s="21">
        <v>44493</v>
      </c>
      <c r="C191" s="16" t="s">
        <v>4</v>
      </c>
      <c r="D191" s="17">
        <v>0.155</v>
      </c>
      <c r="E191" s="18">
        <v>647.70000000000005</v>
      </c>
      <c r="F191" s="18">
        <v>1.55E-4</v>
      </c>
      <c r="G191" s="16" t="s">
        <v>80</v>
      </c>
      <c r="H191" s="20">
        <f>InputData[[#This Row],[Transacted Units]]*InputData[[#This Row],[Transacted Price (per unit)]]</f>
        <v>100.3935</v>
      </c>
      <c r="I191" s="14"/>
    </row>
    <row r="192" spans="1:9" ht="15.75" customHeight="1" x14ac:dyDescent="0.25">
      <c r="A192" s="16" t="s">
        <v>29</v>
      </c>
      <c r="B192" s="21">
        <v>44493</v>
      </c>
      <c r="C192" s="16" t="s">
        <v>4</v>
      </c>
      <c r="D192" s="17">
        <v>7.6999999999999999E-2</v>
      </c>
      <c r="E192" s="18">
        <v>650.4</v>
      </c>
      <c r="F192" s="18">
        <v>7.7000000000000001E-5</v>
      </c>
      <c r="G192" s="16" t="s">
        <v>80</v>
      </c>
      <c r="H192" s="20">
        <f>InputData[[#This Row],[Transacted Units]]*InputData[[#This Row],[Transacted Price (per unit)]]</f>
        <v>50.080799999999996</v>
      </c>
      <c r="I192" s="14"/>
    </row>
    <row r="193" spans="1:9" ht="15.75" customHeight="1" x14ac:dyDescent="0.25">
      <c r="A193" s="16" t="s">
        <v>29</v>
      </c>
      <c r="B193" s="21">
        <v>44491</v>
      </c>
      <c r="C193" s="16" t="s">
        <v>4</v>
      </c>
      <c r="D193" s="17">
        <v>0.32400000000000001</v>
      </c>
      <c r="E193" s="18">
        <v>640.4</v>
      </c>
      <c r="F193" s="18">
        <v>3.2400000000000001E-4</v>
      </c>
      <c r="G193" s="16" t="s">
        <v>80</v>
      </c>
      <c r="H193" s="20">
        <f>InputData[[#This Row],[Transacted Units]]*InputData[[#This Row],[Transacted Price (per unit)]]</f>
        <v>207.4896</v>
      </c>
      <c r="I193" s="14"/>
    </row>
    <row r="194" spans="1:9" ht="15.75" customHeight="1" x14ac:dyDescent="0.25">
      <c r="A194" s="16" t="s">
        <v>29</v>
      </c>
      <c r="B194" s="21">
        <v>44491</v>
      </c>
      <c r="C194" s="16" t="s">
        <v>4</v>
      </c>
      <c r="D194" s="17">
        <v>1E-3</v>
      </c>
      <c r="E194" s="18">
        <v>645.29999999999995</v>
      </c>
      <c r="F194" s="18">
        <v>9.9999999999999995E-7</v>
      </c>
      <c r="G194" s="16" t="s">
        <v>80</v>
      </c>
      <c r="H194" s="20">
        <f>InputData[[#This Row],[Transacted Units]]*InputData[[#This Row],[Transacted Price (per unit)]]</f>
        <v>0.64529999999999998</v>
      </c>
      <c r="I194" s="14"/>
    </row>
    <row r="195" spans="1:9" ht="15.75" customHeight="1" x14ac:dyDescent="0.25">
      <c r="A195" s="16" t="s">
        <v>29</v>
      </c>
      <c r="B195" s="21">
        <v>44491</v>
      </c>
      <c r="C195" s="16" t="s">
        <v>4</v>
      </c>
      <c r="D195" s="17">
        <v>0.26700000000000002</v>
      </c>
      <c r="E195" s="18">
        <v>645.29999999999995</v>
      </c>
      <c r="F195" s="18">
        <v>2.6699999999999998E-4</v>
      </c>
      <c r="G195" s="16" t="s">
        <v>80</v>
      </c>
      <c r="H195" s="20">
        <f>InputData[[#This Row],[Transacted Units]]*InputData[[#This Row],[Transacted Price (per unit)]]</f>
        <v>172.29509999999999</v>
      </c>
      <c r="I195" s="14"/>
    </row>
    <row r="196" spans="1:9" ht="15.75" customHeight="1" x14ac:dyDescent="0.25">
      <c r="A196" s="16" t="s">
        <v>29</v>
      </c>
      <c r="B196" s="21">
        <v>44491</v>
      </c>
      <c r="C196" s="16" t="s">
        <v>4</v>
      </c>
      <c r="D196" s="17">
        <v>0.222</v>
      </c>
      <c r="E196" s="18">
        <v>649.70000000000005</v>
      </c>
      <c r="F196" s="18">
        <v>2.22E-4</v>
      </c>
      <c r="G196" s="16" t="s">
        <v>80</v>
      </c>
      <c r="H196" s="20">
        <f>InputData[[#This Row],[Transacted Units]]*InputData[[#This Row],[Transacted Price (per unit)]]</f>
        <v>144.23340000000002</v>
      </c>
      <c r="I196" s="14"/>
    </row>
    <row r="197" spans="1:9" ht="15.75" customHeight="1" x14ac:dyDescent="0.25">
      <c r="A197" s="16" t="s">
        <v>29</v>
      </c>
      <c r="B197" s="21">
        <v>44491</v>
      </c>
      <c r="C197" s="16" t="s">
        <v>4</v>
      </c>
      <c r="D197" s="17">
        <v>0.184</v>
      </c>
      <c r="E197" s="18">
        <v>653.70000000000005</v>
      </c>
      <c r="F197" s="18">
        <v>1.84E-4</v>
      </c>
      <c r="G197" s="16" t="s">
        <v>80</v>
      </c>
      <c r="H197" s="20">
        <f>InputData[[#This Row],[Transacted Units]]*InputData[[#This Row],[Transacted Price (per unit)]]</f>
        <v>120.2808</v>
      </c>
      <c r="I197" s="14"/>
    </row>
    <row r="198" spans="1:9" ht="15.75" customHeight="1" x14ac:dyDescent="0.25">
      <c r="A198" s="16" t="s">
        <v>29</v>
      </c>
      <c r="B198" s="21">
        <v>44491</v>
      </c>
      <c r="C198" s="16" t="s">
        <v>4</v>
      </c>
      <c r="D198" s="17">
        <v>0.153</v>
      </c>
      <c r="E198" s="18">
        <v>657.3</v>
      </c>
      <c r="F198" s="18">
        <v>1.5300000000000001E-4</v>
      </c>
      <c r="G198" s="16" t="s">
        <v>80</v>
      </c>
      <c r="H198" s="20">
        <f>InputData[[#This Row],[Transacted Units]]*InputData[[#This Row],[Transacted Price (per unit)]]</f>
        <v>100.56689999999999</v>
      </c>
      <c r="I198" s="14"/>
    </row>
    <row r="199" spans="1:9" ht="15.75" customHeight="1" x14ac:dyDescent="0.25">
      <c r="A199" s="16" t="s">
        <v>29</v>
      </c>
      <c r="B199" s="21">
        <v>44491</v>
      </c>
      <c r="C199" s="16" t="s">
        <v>4</v>
      </c>
      <c r="D199" s="17">
        <v>7.5999999999999998E-2</v>
      </c>
      <c r="E199" s="18">
        <v>660</v>
      </c>
      <c r="F199" s="18">
        <v>7.6000000000000004E-5</v>
      </c>
      <c r="G199" s="16" t="s">
        <v>80</v>
      </c>
      <c r="H199" s="20">
        <f>InputData[[#This Row],[Transacted Units]]*InputData[[#This Row],[Transacted Price (per unit)]]</f>
        <v>50.16</v>
      </c>
      <c r="I199" s="14"/>
    </row>
    <row r="200" spans="1:9" ht="15.75" customHeight="1" x14ac:dyDescent="0.25">
      <c r="A200" s="16" t="s">
        <v>29</v>
      </c>
      <c r="B200" s="21">
        <v>44491</v>
      </c>
      <c r="C200" s="16" t="s">
        <v>4</v>
      </c>
      <c r="D200" s="17">
        <v>0.154</v>
      </c>
      <c r="E200" s="18">
        <v>651.70000000000005</v>
      </c>
      <c r="F200" s="18">
        <v>1.54E-4</v>
      </c>
      <c r="G200" s="16" t="s">
        <v>80</v>
      </c>
      <c r="H200" s="20">
        <f>InputData[[#This Row],[Transacted Units]]*InputData[[#This Row],[Transacted Price (per unit)]]</f>
        <v>100.3618</v>
      </c>
      <c r="I200" s="14"/>
    </row>
    <row r="201" spans="1:9" ht="15.75" customHeight="1" x14ac:dyDescent="0.25">
      <c r="A201" s="16" t="s">
        <v>29</v>
      </c>
      <c r="B201" s="21">
        <v>44491</v>
      </c>
      <c r="C201" s="16" t="s">
        <v>4</v>
      </c>
      <c r="D201" s="17">
        <v>7.6999999999999999E-2</v>
      </c>
      <c r="E201" s="18">
        <v>654.4</v>
      </c>
      <c r="F201" s="18">
        <v>7.7000000000000001E-5</v>
      </c>
      <c r="G201" s="16" t="s">
        <v>80</v>
      </c>
      <c r="H201" s="20">
        <f>InputData[[#This Row],[Transacted Units]]*InputData[[#This Row],[Transacted Price (per unit)]]</f>
        <v>50.388799999999996</v>
      </c>
      <c r="I201" s="14"/>
    </row>
    <row r="202" spans="1:9" ht="15.75" customHeight="1" x14ac:dyDescent="0.25">
      <c r="A202" s="16" t="s">
        <v>29</v>
      </c>
      <c r="B202" s="21">
        <v>44490</v>
      </c>
      <c r="C202" s="16" t="s">
        <v>4</v>
      </c>
      <c r="D202" s="17">
        <v>0.68500000000000005</v>
      </c>
      <c r="E202" s="18">
        <v>628</v>
      </c>
      <c r="F202" s="18">
        <v>6.8499999999999995E-4</v>
      </c>
      <c r="G202" s="16" t="s">
        <v>80</v>
      </c>
      <c r="H202" s="20">
        <f>InputData[[#This Row],[Transacted Units]]*InputData[[#This Row],[Transacted Price (per unit)]]</f>
        <v>430.18</v>
      </c>
      <c r="I202" s="14"/>
    </row>
    <row r="203" spans="1:9" ht="15.75" customHeight="1" x14ac:dyDescent="0.25">
      <c r="A203" s="16" t="s">
        <v>29</v>
      </c>
      <c r="B203" s="21">
        <v>44490</v>
      </c>
      <c r="C203" s="16" t="s">
        <v>4</v>
      </c>
      <c r="D203" s="17">
        <v>0.314</v>
      </c>
      <c r="E203" s="18">
        <v>635.20000000000005</v>
      </c>
      <c r="F203" s="18">
        <v>3.1399999999999999E-4</v>
      </c>
      <c r="G203" s="16" t="s">
        <v>80</v>
      </c>
      <c r="H203" s="20">
        <f>InputData[[#This Row],[Transacted Units]]*InputData[[#This Row],[Transacted Price (per unit)]]</f>
        <v>199.45280000000002</v>
      </c>
      <c r="I203" s="14"/>
    </row>
    <row r="204" spans="1:9" ht="15.75" customHeight="1" x14ac:dyDescent="0.25">
      <c r="A204" s="16" t="s">
        <v>29</v>
      </c>
      <c r="B204" s="21">
        <v>44490</v>
      </c>
      <c r="C204" s="16" t="s">
        <v>4</v>
      </c>
      <c r="D204" s="17">
        <v>0.251</v>
      </c>
      <c r="E204" s="18">
        <v>635.20000000000005</v>
      </c>
      <c r="F204" s="18">
        <v>2.5099999999999998E-4</v>
      </c>
      <c r="G204" s="16" t="s">
        <v>80</v>
      </c>
      <c r="H204" s="20">
        <f>InputData[[#This Row],[Transacted Units]]*InputData[[#This Row],[Transacted Price (per unit)]]</f>
        <v>159.43520000000001</v>
      </c>
      <c r="I204" s="14"/>
    </row>
    <row r="205" spans="1:9" ht="15.75" customHeight="1" x14ac:dyDescent="0.25">
      <c r="A205" s="16" t="s">
        <v>29</v>
      </c>
      <c r="B205" s="21">
        <v>44490</v>
      </c>
      <c r="C205" s="16" t="s">
        <v>4</v>
      </c>
      <c r="D205" s="17">
        <v>0.46600000000000003</v>
      </c>
      <c r="E205" s="18">
        <v>641.70000000000005</v>
      </c>
      <c r="F205" s="18">
        <v>4.66E-4</v>
      </c>
      <c r="G205" s="16" t="s">
        <v>80</v>
      </c>
      <c r="H205" s="20">
        <f>InputData[[#This Row],[Transacted Units]]*InputData[[#This Row],[Transacted Price (per unit)]]</f>
        <v>299.03220000000005</v>
      </c>
      <c r="I205" s="14"/>
    </row>
    <row r="206" spans="1:9" ht="15.75" customHeight="1" x14ac:dyDescent="0.25">
      <c r="A206" s="16" t="s">
        <v>29</v>
      </c>
      <c r="B206" s="21">
        <v>44490</v>
      </c>
      <c r="C206" s="16" t="s">
        <v>4</v>
      </c>
      <c r="D206" s="17">
        <v>0.38500000000000001</v>
      </c>
      <c r="E206" s="18">
        <v>647.70000000000005</v>
      </c>
      <c r="F206" s="18">
        <v>3.8499999999999998E-4</v>
      </c>
      <c r="G206" s="16" t="s">
        <v>80</v>
      </c>
      <c r="H206" s="20">
        <f>InputData[[#This Row],[Transacted Units]]*InputData[[#This Row],[Transacted Price (per unit)]]</f>
        <v>249.36450000000002</v>
      </c>
      <c r="I206" s="14"/>
    </row>
    <row r="207" spans="1:9" ht="15.75" customHeight="1" x14ac:dyDescent="0.25">
      <c r="A207" s="16" t="s">
        <v>29</v>
      </c>
      <c r="B207" s="21">
        <v>44490</v>
      </c>
      <c r="C207" s="16" t="s">
        <v>4</v>
      </c>
      <c r="D207" s="17">
        <v>0.318</v>
      </c>
      <c r="E207" s="18">
        <v>653.1</v>
      </c>
      <c r="F207" s="18">
        <v>3.1799999999999998E-4</v>
      </c>
      <c r="G207" s="16" t="s">
        <v>80</v>
      </c>
      <c r="H207" s="20">
        <f>InputData[[#This Row],[Transacted Units]]*InputData[[#This Row],[Transacted Price (per unit)]]</f>
        <v>207.6858</v>
      </c>
      <c r="I207" s="14"/>
    </row>
    <row r="208" spans="1:9" ht="15.75" customHeight="1" x14ac:dyDescent="0.25">
      <c r="A208" s="16" t="s">
        <v>29</v>
      </c>
      <c r="B208" s="21">
        <v>44490</v>
      </c>
      <c r="C208" s="16" t="s">
        <v>4</v>
      </c>
      <c r="D208" s="17">
        <v>0.26300000000000001</v>
      </c>
      <c r="E208" s="18">
        <v>658.1</v>
      </c>
      <c r="F208" s="18">
        <v>2.63E-4</v>
      </c>
      <c r="G208" s="16" t="s">
        <v>80</v>
      </c>
      <c r="H208" s="20">
        <f>InputData[[#This Row],[Transacted Units]]*InputData[[#This Row],[Transacted Price (per unit)]]</f>
        <v>173.08030000000002</v>
      </c>
      <c r="I208" s="14"/>
    </row>
    <row r="209" spans="1:9" ht="15.75" customHeight="1" x14ac:dyDescent="0.25">
      <c r="A209" s="16" t="s">
        <v>29</v>
      </c>
      <c r="B209" s="21">
        <v>44490</v>
      </c>
      <c r="C209" s="16" t="s">
        <v>4</v>
      </c>
      <c r="D209" s="17">
        <v>0.218</v>
      </c>
      <c r="E209" s="18">
        <v>662.5</v>
      </c>
      <c r="F209" s="18">
        <v>2.1800000000000001E-4</v>
      </c>
      <c r="G209" s="16" t="s">
        <v>80</v>
      </c>
      <c r="H209" s="20">
        <f>InputData[[#This Row],[Transacted Units]]*InputData[[#This Row],[Transacted Price (per unit)]]</f>
        <v>144.42500000000001</v>
      </c>
      <c r="I209" s="14"/>
    </row>
    <row r="210" spans="1:9" ht="15.75" customHeight="1" x14ac:dyDescent="0.25">
      <c r="A210" s="16" t="s">
        <v>29</v>
      </c>
      <c r="B210" s="21">
        <v>44489</v>
      </c>
      <c r="C210" s="16" t="s">
        <v>4</v>
      </c>
      <c r="D210" s="17">
        <v>0.18099999999999999</v>
      </c>
      <c r="E210" s="18">
        <v>666.6</v>
      </c>
      <c r="F210" s="18">
        <v>1.8100000000000001E-4</v>
      </c>
      <c r="G210" s="16" t="s">
        <v>80</v>
      </c>
      <c r="H210" s="20">
        <f>InputData[[#This Row],[Transacted Units]]*InputData[[#This Row],[Transacted Price (per unit)]]</f>
        <v>120.6546</v>
      </c>
      <c r="I210" s="14"/>
    </row>
    <row r="211" spans="1:9" ht="15.75" customHeight="1" x14ac:dyDescent="0.25">
      <c r="A211" s="16" t="s">
        <v>29</v>
      </c>
      <c r="B211" s="21">
        <v>44489</v>
      </c>
      <c r="C211" s="16" t="s">
        <v>4</v>
      </c>
      <c r="D211" s="17">
        <v>0.15</v>
      </c>
      <c r="E211" s="18">
        <v>670.3</v>
      </c>
      <c r="F211" s="18">
        <v>1.4999999999999999E-4</v>
      </c>
      <c r="G211" s="16" t="s">
        <v>80</v>
      </c>
      <c r="H211" s="20">
        <f>InputData[[#This Row],[Transacted Units]]*InputData[[#This Row],[Transacted Price (per unit)]]</f>
        <v>100.54499999999999</v>
      </c>
      <c r="I211" s="14"/>
    </row>
    <row r="212" spans="1:9" ht="15.75" customHeight="1" x14ac:dyDescent="0.25">
      <c r="A212" s="16" t="s">
        <v>29</v>
      </c>
      <c r="B212" s="21">
        <v>44489</v>
      </c>
      <c r="C212" s="16" t="s">
        <v>4</v>
      </c>
      <c r="D212" s="17">
        <v>3.2000000000000001E-2</v>
      </c>
      <c r="E212" s="18">
        <v>672.9</v>
      </c>
      <c r="F212" s="18">
        <v>3.1999999999999999E-5</v>
      </c>
      <c r="G212" s="16" t="s">
        <v>80</v>
      </c>
      <c r="H212" s="20">
        <f>InputData[[#This Row],[Transacted Units]]*InputData[[#This Row],[Transacted Price (per unit)]]</f>
        <v>21.532799999999998</v>
      </c>
      <c r="I212" s="14"/>
    </row>
    <row r="213" spans="1:9" ht="15.75" customHeight="1" x14ac:dyDescent="0.25">
      <c r="A213" s="16" t="s">
        <v>29</v>
      </c>
      <c r="B213" s="21">
        <v>44489</v>
      </c>
      <c r="C213" s="16" t="s">
        <v>4</v>
      </c>
      <c r="D213" s="17">
        <v>4.2999999999999997E-2</v>
      </c>
      <c r="E213" s="18">
        <v>673.2</v>
      </c>
      <c r="F213" s="18">
        <v>4.3000000000000002E-5</v>
      </c>
      <c r="G213" s="16" t="s">
        <v>80</v>
      </c>
      <c r="H213" s="20">
        <f>InputData[[#This Row],[Transacted Units]]*InputData[[#This Row],[Transacted Price (per unit)]]</f>
        <v>28.947600000000001</v>
      </c>
      <c r="I213" s="14"/>
    </row>
    <row r="214" spans="1:9" ht="15.75" customHeight="1" x14ac:dyDescent="0.25">
      <c r="A214" s="16" t="s">
        <v>29</v>
      </c>
      <c r="B214" s="21">
        <v>44489</v>
      </c>
      <c r="C214" s="16" t="s">
        <v>4</v>
      </c>
      <c r="D214" s="17">
        <v>7.5999999999999998E-2</v>
      </c>
      <c r="E214" s="18">
        <v>664.1</v>
      </c>
      <c r="F214" s="18">
        <v>7.6000000000000004E-5</v>
      </c>
      <c r="G214" s="16" t="s">
        <v>80</v>
      </c>
      <c r="H214" s="20">
        <f>InputData[[#This Row],[Transacted Units]]*InputData[[#This Row],[Transacted Price (per unit)]]</f>
        <v>50.471600000000002</v>
      </c>
      <c r="I214" s="14"/>
    </row>
    <row r="215" spans="1:9" ht="15.75" customHeight="1" x14ac:dyDescent="0.25">
      <c r="A215" s="16" t="s">
        <v>29</v>
      </c>
      <c r="B215" s="21">
        <v>44488</v>
      </c>
      <c r="C215" s="16" t="s">
        <v>4</v>
      </c>
      <c r="D215" s="17">
        <v>0.17299999999999999</v>
      </c>
      <c r="E215" s="18">
        <v>652.6</v>
      </c>
      <c r="F215" s="18">
        <v>1.73E-4</v>
      </c>
      <c r="G215" s="16" t="s">
        <v>80</v>
      </c>
      <c r="H215" s="20">
        <f>InputData[[#This Row],[Transacted Units]]*InputData[[#This Row],[Transacted Price (per unit)]]</f>
        <v>112.8998</v>
      </c>
      <c r="I215" s="14"/>
    </row>
    <row r="216" spans="1:9" ht="15.75" customHeight="1" x14ac:dyDescent="0.25">
      <c r="A216" s="16" t="s">
        <v>29</v>
      </c>
      <c r="B216" s="21">
        <v>44488</v>
      </c>
      <c r="C216" s="16" t="s">
        <v>4</v>
      </c>
      <c r="D216" s="17">
        <v>0.115</v>
      </c>
      <c r="E216" s="18">
        <v>657.6</v>
      </c>
      <c r="F216" s="18">
        <v>1.15E-4</v>
      </c>
      <c r="G216" s="16" t="s">
        <v>80</v>
      </c>
      <c r="H216" s="20">
        <f>InputData[[#This Row],[Transacted Units]]*InputData[[#This Row],[Transacted Price (per unit)]]</f>
        <v>75.624000000000009</v>
      </c>
      <c r="I216" s="14"/>
    </row>
    <row r="217" spans="1:9" ht="15.75" customHeight="1" x14ac:dyDescent="0.25">
      <c r="A217" s="16" t="s">
        <v>29</v>
      </c>
      <c r="B217" s="21">
        <v>44488</v>
      </c>
      <c r="C217" s="16" t="s">
        <v>4</v>
      </c>
      <c r="D217" s="17">
        <v>7.5999999999999998E-2</v>
      </c>
      <c r="E217" s="18">
        <v>660.2</v>
      </c>
      <c r="F217" s="18">
        <v>7.6000000000000004E-5</v>
      </c>
      <c r="G217" s="16" t="s">
        <v>80</v>
      </c>
      <c r="H217" s="20">
        <f>InputData[[#This Row],[Transacted Units]]*InputData[[#This Row],[Transacted Price (per unit)]]</f>
        <v>50.175200000000004</v>
      </c>
      <c r="I217" s="14"/>
    </row>
    <row r="218" spans="1:9" ht="15.75" customHeight="1" x14ac:dyDescent="0.25">
      <c r="A218" s="16" t="s">
        <v>29</v>
      </c>
      <c r="B218" s="21">
        <v>44488</v>
      </c>
      <c r="C218" s="16" t="s">
        <v>4</v>
      </c>
      <c r="D218" s="17">
        <v>4.5999999999999999E-2</v>
      </c>
      <c r="E218" s="18">
        <v>661</v>
      </c>
      <c r="F218" s="18">
        <v>4.6E-5</v>
      </c>
      <c r="G218" s="16" t="s">
        <v>80</v>
      </c>
      <c r="H218" s="20">
        <f>InputData[[#This Row],[Transacted Units]]*InputData[[#This Row],[Transacted Price (per unit)]]</f>
        <v>30.405999999999999</v>
      </c>
      <c r="I218" s="14"/>
    </row>
    <row r="219" spans="1:9" ht="15.75" customHeight="1" x14ac:dyDescent="0.25">
      <c r="A219" s="16" t="s">
        <v>29</v>
      </c>
      <c r="B219" s="21">
        <v>44487</v>
      </c>
      <c r="C219" s="16" t="s">
        <v>4</v>
      </c>
      <c r="D219" s="17">
        <v>7.6999999999999999E-2</v>
      </c>
      <c r="E219" s="18">
        <v>652.70000000000005</v>
      </c>
      <c r="F219" s="18">
        <v>7.7000000000000001E-5</v>
      </c>
      <c r="G219" s="16" t="s">
        <v>80</v>
      </c>
      <c r="H219" s="20">
        <f>InputData[[#This Row],[Transacted Units]]*InputData[[#This Row],[Transacted Price (per unit)]]</f>
        <v>50.257899999999999</v>
      </c>
      <c r="I219" s="14"/>
    </row>
    <row r="220" spans="1:9" ht="15.75" customHeight="1" x14ac:dyDescent="0.25">
      <c r="A220" s="16" t="s">
        <v>29</v>
      </c>
      <c r="B220" s="21">
        <v>44487</v>
      </c>
      <c r="C220" s="16" t="s">
        <v>4</v>
      </c>
      <c r="D220" s="17">
        <v>4.5999999999999999E-2</v>
      </c>
      <c r="E220" s="18">
        <v>653.5</v>
      </c>
      <c r="F220" s="18">
        <v>4.6E-5</v>
      </c>
      <c r="G220" s="16" t="s">
        <v>80</v>
      </c>
      <c r="H220" s="20">
        <f>InputData[[#This Row],[Transacted Units]]*InputData[[#This Row],[Transacted Price (per unit)]]</f>
        <v>30.061</v>
      </c>
      <c r="I220" s="14"/>
    </row>
    <row r="221" spans="1:9" ht="15.75" customHeight="1" x14ac:dyDescent="0.25">
      <c r="A221" s="16" t="s">
        <v>29</v>
      </c>
      <c r="B221" s="21">
        <v>44487</v>
      </c>
      <c r="C221" s="16" t="s">
        <v>4</v>
      </c>
      <c r="D221" s="17">
        <v>0.17599999999999999</v>
      </c>
      <c r="E221" s="18">
        <v>641.20000000000005</v>
      </c>
      <c r="F221" s="18">
        <v>1.76E-4</v>
      </c>
      <c r="G221" s="16" t="s">
        <v>80</v>
      </c>
      <c r="H221" s="20">
        <f>InputData[[#This Row],[Transacted Units]]*InputData[[#This Row],[Transacted Price (per unit)]]</f>
        <v>112.85120000000001</v>
      </c>
      <c r="I221" s="14"/>
    </row>
    <row r="222" spans="1:9" ht="15.75" customHeight="1" x14ac:dyDescent="0.25">
      <c r="A222" s="16" t="s">
        <v>29</v>
      </c>
      <c r="B222" s="21">
        <v>44487</v>
      </c>
      <c r="C222" s="16" t="s">
        <v>4</v>
      </c>
      <c r="D222" s="17">
        <v>0.11700000000000001</v>
      </c>
      <c r="E222" s="18">
        <v>646.1</v>
      </c>
      <c r="F222" s="18">
        <v>1.17E-4</v>
      </c>
      <c r="G222" s="16" t="s">
        <v>80</v>
      </c>
      <c r="H222" s="20">
        <f>InputData[[#This Row],[Transacted Units]]*InputData[[#This Row],[Transacted Price (per unit)]]</f>
        <v>75.593700000000013</v>
      </c>
      <c r="I222" s="14"/>
    </row>
    <row r="223" spans="1:9" ht="15.75" customHeight="1" x14ac:dyDescent="0.25">
      <c r="A223" s="16" t="s">
        <v>29</v>
      </c>
      <c r="B223" s="21">
        <v>44487</v>
      </c>
      <c r="C223" s="16" t="s">
        <v>4</v>
      </c>
      <c r="D223" s="17">
        <v>7.8E-2</v>
      </c>
      <c r="E223" s="18">
        <v>648.70000000000005</v>
      </c>
      <c r="F223" s="18">
        <v>7.7999999999999999E-5</v>
      </c>
      <c r="G223" s="16" t="s">
        <v>80</v>
      </c>
      <c r="H223" s="20">
        <f>InputData[[#This Row],[Transacted Units]]*InputData[[#This Row],[Transacted Price (per unit)]]</f>
        <v>50.598600000000005</v>
      </c>
      <c r="I223" s="14"/>
    </row>
    <row r="224" spans="1:9" ht="15.75" customHeight="1" x14ac:dyDescent="0.25">
      <c r="A224" s="16" t="s">
        <v>29</v>
      </c>
      <c r="B224" s="21">
        <v>44487</v>
      </c>
      <c r="C224" s="16" t="s">
        <v>4</v>
      </c>
      <c r="D224" s="17">
        <v>4.7E-2</v>
      </c>
      <c r="E224" s="18">
        <v>649.5</v>
      </c>
      <c r="F224" s="18">
        <v>4.6999999999999997E-5</v>
      </c>
      <c r="G224" s="16" t="s">
        <v>80</v>
      </c>
      <c r="H224" s="20">
        <f>InputData[[#This Row],[Transacted Units]]*InputData[[#This Row],[Transacted Price (per unit)]]</f>
        <v>30.526499999999999</v>
      </c>
      <c r="I224" s="14"/>
    </row>
    <row r="225" spans="1:9" ht="15.75" customHeight="1" x14ac:dyDescent="0.25">
      <c r="A225" s="16" t="s">
        <v>29</v>
      </c>
      <c r="B225" s="21">
        <v>44487</v>
      </c>
      <c r="C225" s="16" t="s">
        <v>4</v>
      </c>
      <c r="D225" s="17">
        <v>0.17699999999999999</v>
      </c>
      <c r="E225" s="18">
        <v>638.9</v>
      </c>
      <c r="F225" s="18">
        <v>1.7699999999999999E-4</v>
      </c>
      <c r="G225" s="16" t="s">
        <v>80</v>
      </c>
      <c r="H225" s="20">
        <f>InputData[[#This Row],[Transacted Units]]*InputData[[#This Row],[Transacted Price (per unit)]]</f>
        <v>113.08529999999999</v>
      </c>
      <c r="I225" s="14"/>
    </row>
    <row r="226" spans="1:9" ht="15.75" customHeight="1" x14ac:dyDescent="0.25">
      <c r="A226" s="16" t="s">
        <v>29</v>
      </c>
      <c r="B226" s="21">
        <v>44487</v>
      </c>
      <c r="C226" s="16" t="s">
        <v>4</v>
      </c>
      <c r="D226" s="17">
        <v>0.11700000000000001</v>
      </c>
      <c r="E226" s="18">
        <v>643.9</v>
      </c>
      <c r="F226" s="18">
        <v>1.17E-4</v>
      </c>
      <c r="G226" s="16" t="s">
        <v>80</v>
      </c>
      <c r="H226" s="20">
        <f>InputData[[#This Row],[Transacted Units]]*InputData[[#This Row],[Transacted Price (per unit)]]</f>
        <v>75.336300000000008</v>
      </c>
      <c r="I226" s="14"/>
    </row>
    <row r="227" spans="1:9" ht="15.75" customHeight="1" x14ac:dyDescent="0.25">
      <c r="A227" s="16" t="s">
        <v>29</v>
      </c>
      <c r="B227" s="21">
        <v>44487</v>
      </c>
      <c r="C227" s="16" t="s">
        <v>4</v>
      </c>
      <c r="D227" s="17">
        <v>7.8E-2</v>
      </c>
      <c r="E227" s="18">
        <v>646.4</v>
      </c>
      <c r="F227" s="18">
        <v>7.7999999999999999E-5</v>
      </c>
      <c r="G227" s="16" t="s">
        <v>80</v>
      </c>
      <c r="H227" s="20">
        <f>InputData[[#This Row],[Transacted Units]]*InputData[[#This Row],[Transacted Price (per unit)]]</f>
        <v>50.419199999999996</v>
      </c>
      <c r="I227" s="14"/>
    </row>
    <row r="228" spans="1:9" ht="15.75" customHeight="1" x14ac:dyDescent="0.25">
      <c r="A228" s="16" t="s">
        <v>29</v>
      </c>
      <c r="B228" s="21">
        <v>44487</v>
      </c>
      <c r="C228" s="16" t="s">
        <v>4</v>
      </c>
      <c r="D228" s="17">
        <v>4.7E-2</v>
      </c>
      <c r="E228" s="18">
        <v>647.20000000000005</v>
      </c>
      <c r="F228" s="18">
        <v>4.6999999999999997E-5</v>
      </c>
      <c r="G228" s="16" t="s">
        <v>80</v>
      </c>
      <c r="H228" s="20">
        <f>InputData[[#This Row],[Transacted Units]]*InputData[[#This Row],[Transacted Price (per unit)]]</f>
        <v>30.418400000000002</v>
      </c>
      <c r="I228" s="14"/>
    </row>
    <row r="229" spans="1:9" ht="15.75" customHeight="1" x14ac:dyDescent="0.25">
      <c r="A229" s="16" t="s">
        <v>29</v>
      </c>
      <c r="B229" s="21">
        <v>44487</v>
      </c>
      <c r="C229" s="16" t="s">
        <v>4</v>
      </c>
      <c r="D229" s="17">
        <v>0.248</v>
      </c>
      <c r="E229" s="18">
        <v>636.29999999999995</v>
      </c>
      <c r="F229" s="18">
        <v>2.4800000000000001E-4</v>
      </c>
      <c r="G229" s="16" t="s">
        <v>80</v>
      </c>
      <c r="H229" s="20">
        <f>InputData[[#This Row],[Transacted Units]]*InputData[[#This Row],[Transacted Price (per unit)]]</f>
        <v>157.80239999999998</v>
      </c>
      <c r="I229" s="14"/>
    </row>
    <row r="230" spans="1:9" ht="15.75" customHeight="1" x14ac:dyDescent="0.25">
      <c r="A230" s="16" t="s">
        <v>29</v>
      </c>
      <c r="B230" s="21">
        <v>44485</v>
      </c>
      <c r="C230" s="16" t="s">
        <v>4</v>
      </c>
      <c r="D230" s="17">
        <v>0.26900000000000002</v>
      </c>
      <c r="E230" s="18">
        <v>629.29999999999995</v>
      </c>
      <c r="F230" s="18">
        <v>2.6899999999999998E-4</v>
      </c>
      <c r="G230" s="16" t="s">
        <v>80</v>
      </c>
      <c r="H230" s="20">
        <f>InputData[[#This Row],[Transacted Units]]*InputData[[#This Row],[Transacted Price (per unit)]]</f>
        <v>169.2817</v>
      </c>
      <c r="I230" s="14"/>
    </row>
    <row r="231" spans="1:9" ht="15.75" customHeight="1" x14ac:dyDescent="0.25">
      <c r="A231" s="16" t="s">
        <v>29</v>
      </c>
      <c r="B231" s="21">
        <v>44485</v>
      </c>
      <c r="C231" s="16" t="s">
        <v>4</v>
      </c>
      <c r="D231" s="17">
        <v>0.17699999999999999</v>
      </c>
      <c r="E231" s="18">
        <v>638.6</v>
      </c>
      <c r="F231" s="18">
        <v>1.7699999999999999E-4</v>
      </c>
      <c r="G231" s="16" t="s">
        <v>80</v>
      </c>
      <c r="H231" s="20">
        <f>InputData[[#This Row],[Transacted Units]]*InputData[[#This Row],[Transacted Price (per unit)]]</f>
        <v>113.0322</v>
      </c>
      <c r="I231" s="14"/>
    </row>
    <row r="232" spans="1:9" ht="15.75" customHeight="1" x14ac:dyDescent="0.25">
      <c r="A232" s="16" t="s">
        <v>29</v>
      </c>
      <c r="B232" s="21">
        <v>44485</v>
      </c>
      <c r="C232" s="16" t="s">
        <v>4</v>
      </c>
      <c r="D232" s="17">
        <v>0.11700000000000001</v>
      </c>
      <c r="E232" s="18">
        <v>643.6</v>
      </c>
      <c r="F232" s="18">
        <v>1.17E-4</v>
      </c>
      <c r="G232" s="16" t="s">
        <v>80</v>
      </c>
      <c r="H232" s="20">
        <f>InputData[[#This Row],[Transacted Units]]*InputData[[#This Row],[Transacted Price (per unit)]]</f>
        <v>75.301200000000009</v>
      </c>
      <c r="I232" s="14"/>
    </row>
    <row r="233" spans="1:9" ht="15.75" customHeight="1" x14ac:dyDescent="0.25">
      <c r="A233" s="16" t="s">
        <v>29</v>
      </c>
      <c r="B233" s="21">
        <v>44485</v>
      </c>
      <c r="C233" s="16" t="s">
        <v>4</v>
      </c>
      <c r="D233" s="17">
        <v>7.8E-2</v>
      </c>
      <c r="E233" s="18">
        <v>646.1</v>
      </c>
      <c r="F233" s="18">
        <v>7.7999999999999999E-5</v>
      </c>
      <c r="G233" s="16" t="s">
        <v>80</v>
      </c>
      <c r="H233" s="20">
        <f>InputData[[#This Row],[Transacted Units]]*InputData[[#This Row],[Transacted Price (per unit)]]</f>
        <v>50.395800000000001</v>
      </c>
      <c r="I233" s="14"/>
    </row>
    <row r="234" spans="1:9" ht="15.75" customHeight="1" x14ac:dyDescent="0.25">
      <c r="A234" s="16" t="s">
        <v>29</v>
      </c>
      <c r="B234" s="21">
        <v>44485</v>
      </c>
      <c r="C234" s="16" t="s">
        <v>4</v>
      </c>
      <c r="D234" s="17">
        <v>4.7E-2</v>
      </c>
      <c r="E234" s="18">
        <v>646.9</v>
      </c>
      <c r="F234" s="18">
        <v>4.6999999999999997E-5</v>
      </c>
      <c r="G234" s="16" t="s">
        <v>80</v>
      </c>
      <c r="H234" s="20">
        <f>InputData[[#This Row],[Transacted Units]]*InputData[[#This Row],[Transacted Price (per unit)]]</f>
        <v>30.404299999999999</v>
      </c>
      <c r="I234" s="14"/>
    </row>
    <row r="235" spans="1:9" ht="15.75" customHeight="1" x14ac:dyDescent="0.25">
      <c r="A235" s="16" t="s">
        <v>29</v>
      </c>
      <c r="B235" s="21">
        <v>44485</v>
      </c>
      <c r="C235" s="16" t="s">
        <v>4</v>
      </c>
      <c r="D235" s="17">
        <v>0.17699999999999999</v>
      </c>
      <c r="E235" s="18">
        <v>636.29999999999995</v>
      </c>
      <c r="F235" s="18">
        <v>1.7699999999999999E-4</v>
      </c>
      <c r="G235" s="16" t="s">
        <v>80</v>
      </c>
      <c r="H235" s="20">
        <f>InputData[[#This Row],[Transacted Units]]*InputData[[#This Row],[Transacted Price (per unit)]]</f>
        <v>112.62509999999999</v>
      </c>
      <c r="I235" s="14"/>
    </row>
    <row r="236" spans="1:9" ht="15.75" customHeight="1" x14ac:dyDescent="0.25">
      <c r="A236" s="16" t="s">
        <v>29</v>
      </c>
      <c r="B236" s="21">
        <v>44485</v>
      </c>
      <c r="C236" s="16" t="s">
        <v>4</v>
      </c>
      <c r="D236" s="17">
        <v>0.11700000000000001</v>
      </c>
      <c r="E236" s="18">
        <v>641.20000000000005</v>
      </c>
      <c r="F236" s="18">
        <v>1.17E-4</v>
      </c>
      <c r="G236" s="16" t="s">
        <v>80</v>
      </c>
      <c r="H236" s="20">
        <f>InputData[[#This Row],[Transacted Units]]*InputData[[#This Row],[Transacted Price (per unit)]]</f>
        <v>75.020400000000009</v>
      </c>
      <c r="I236" s="14"/>
    </row>
    <row r="237" spans="1:9" ht="15.75" customHeight="1" x14ac:dyDescent="0.25">
      <c r="A237" s="16" t="s">
        <v>29</v>
      </c>
      <c r="B237" s="21">
        <v>44485</v>
      </c>
      <c r="C237" s="16" t="s">
        <v>4</v>
      </c>
      <c r="D237" s="17">
        <v>7.8E-2</v>
      </c>
      <c r="E237" s="18">
        <v>643.70000000000005</v>
      </c>
      <c r="F237" s="18">
        <v>7.7999999999999999E-5</v>
      </c>
      <c r="G237" s="16" t="s">
        <v>80</v>
      </c>
      <c r="H237" s="20">
        <f>InputData[[#This Row],[Transacted Units]]*InputData[[#This Row],[Transacted Price (per unit)]]</f>
        <v>50.208600000000004</v>
      </c>
      <c r="I237" s="14"/>
    </row>
    <row r="238" spans="1:9" ht="15.75" customHeight="1" x14ac:dyDescent="0.25">
      <c r="A238" s="16" t="s">
        <v>29</v>
      </c>
      <c r="B238" s="21">
        <v>44485</v>
      </c>
      <c r="C238" s="16" t="s">
        <v>4</v>
      </c>
      <c r="D238" s="17">
        <v>4.7E-2</v>
      </c>
      <c r="E238" s="18">
        <v>644.5</v>
      </c>
      <c r="F238" s="18">
        <v>4.6999999999999997E-5</v>
      </c>
      <c r="G238" s="16" t="s">
        <v>80</v>
      </c>
      <c r="H238" s="20">
        <f>InputData[[#This Row],[Transacted Units]]*InputData[[#This Row],[Transacted Price (per unit)]]</f>
        <v>30.291499999999999</v>
      </c>
      <c r="I238" s="14"/>
    </row>
    <row r="239" spans="1:9" ht="15.75" customHeight="1" x14ac:dyDescent="0.25">
      <c r="A239" s="16" t="s">
        <v>29</v>
      </c>
      <c r="B239" s="21">
        <v>44484</v>
      </c>
      <c r="C239" s="16" t="s">
        <v>4</v>
      </c>
      <c r="D239" s="17">
        <v>7.9000000000000001E-2</v>
      </c>
      <c r="E239" s="18">
        <v>636</v>
      </c>
      <c r="F239" s="18">
        <v>7.8999999999999996E-5</v>
      </c>
      <c r="G239" s="16" t="s">
        <v>80</v>
      </c>
      <c r="H239" s="20">
        <f>InputData[[#This Row],[Transacted Units]]*InputData[[#This Row],[Transacted Price (per unit)]]</f>
        <v>50.244</v>
      </c>
      <c r="I239" s="14"/>
    </row>
    <row r="240" spans="1:9" ht="15.75" customHeight="1" x14ac:dyDescent="0.25">
      <c r="A240" s="16" t="s">
        <v>29</v>
      </c>
      <c r="B240" s="21">
        <v>44484</v>
      </c>
      <c r="C240" s="16" t="s">
        <v>4</v>
      </c>
      <c r="D240" s="17">
        <v>4.8000000000000001E-2</v>
      </c>
      <c r="E240" s="18">
        <v>636.79999999999995</v>
      </c>
      <c r="F240" s="18">
        <v>4.8000000000000001E-5</v>
      </c>
      <c r="G240" s="16" t="s">
        <v>80</v>
      </c>
      <c r="H240" s="20">
        <f>InputData[[#This Row],[Transacted Units]]*InputData[[#This Row],[Transacted Price (per unit)]]</f>
        <v>30.566399999999998</v>
      </c>
      <c r="I240" s="14"/>
    </row>
    <row r="241" spans="1:9" ht="15.75" customHeight="1" x14ac:dyDescent="0.25">
      <c r="A241" s="16" t="s">
        <v>29</v>
      </c>
      <c r="B241" s="21">
        <v>44484</v>
      </c>
      <c r="C241" s="16" t="s">
        <v>4</v>
      </c>
      <c r="D241" s="17">
        <v>0.41199999999999998</v>
      </c>
      <c r="E241" s="18">
        <v>614.4</v>
      </c>
      <c r="F241" s="18">
        <v>4.1199999999999999E-4</v>
      </c>
      <c r="G241" s="16" t="s">
        <v>80</v>
      </c>
      <c r="H241" s="20">
        <f>InputData[[#This Row],[Transacted Units]]*InputData[[#This Row],[Transacted Price (per unit)]]</f>
        <v>253.13279999999997</v>
      </c>
      <c r="I241" s="14"/>
    </row>
    <row r="242" spans="1:9" ht="15.75" customHeight="1" x14ac:dyDescent="0.25">
      <c r="A242" s="16" t="s">
        <v>29</v>
      </c>
      <c r="B242" s="21">
        <v>44483</v>
      </c>
      <c r="C242" s="16" t="s">
        <v>4</v>
      </c>
      <c r="D242" s="17">
        <v>0.26700000000000002</v>
      </c>
      <c r="E242" s="18">
        <v>632.20000000000005</v>
      </c>
      <c r="F242" s="18">
        <v>2.6699999999999998E-4</v>
      </c>
      <c r="G242" s="16" t="s">
        <v>80</v>
      </c>
      <c r="H242" s="20">
        <f>InputData[[#This Row],[Transacted Units]]*InputData[[#This Row],[Transacted Price (per unit)]]</f>
        <v>168.79740000000001</v>
      </c>
      <c r="I242" s="14"/>
    </row>
    <row r="243" spans="1:9" ht="15.75" customHeight="1" x14ac:dyDescent="0.25">
      <c r="A243" s="16" t="s">
        <v>29</v>
      </c>
      <c r="B243" s="21">
        <v>44483</v>
      </c>
      <c r="C243" s="16" t="s">
        <v>4</v>
      </c>
      <c r="D243" s="17">
        <v>0.17599999999999999</v>
      </c>
      <c r="E243" s="18">
        <v>641.6</v>
      </c>
      <c r="F243" s="18">
        <v>1.76E-4</v>
      </c>
      <c r="G243" s="16" t="s">
        <v>80</v>
      </c>
      <c r="H243" s="20">
        <f>InputData[[#This Row],[Transacted Units]]*InputData[[#This Row],[Transacted Price (per unit)]]</f>
        <v>112.9216</v>
      </c>
      <c r="I243" s="14"/>
    </row>
    <row r="244" spans="1:9" ht="15.75" customHeight="1" x14ac:dyDescent="0.25">
      <c r="A244" s="16" t="s">
        <v>29</v>
      </c>
      <c r="B244" s="21">
        <v>44483</v>
      </c>
      <c r="C244" s="16" t="s">
        <v>4</v>
      </c>
      <c r="D244" s="17">
        <v>0.11700000000000001</v>
      </c>
      <c r="E244" s="18">
        <v>646.5</v>
      </c>
      <c r="F244" s="18">
        <v>1.17E-4</v>
      </c>
      <c r="G244" s="16" t="s">
        <v>80</v>
      </c>
      <c r="H244" s="20">
        <f>InputData[[#This Row],[Transacted Units]]*InputData[[#This Row],[Transacted Price (per unit)]]</f>
        <v>75.640500000000003</v>
      </c>
      <c r="I244" s="14"/>
    </row>
    <row r="245" spans="1:9" ht="15.75" customHeight="1" x14ac:dyDescent="0.25">
      <c r="A245" s="16" t="s">
        <v>29</v>
      </c>
      <c r="B245" s="21">
        <v>44483</v>
      </c>
      <c r="C245" s="16" t="s">
        <v>4</v>
      </c>
      <c r="D245" s="17">
        <v>7.8E-2</v>
      </c>
      <c r="E245" s="18">
        <v>649.1</v>
      </c>
      <c r="F245" s="18">
        <v>7.7999999999999999E-5</v>
      </c>
      <c r="G245" s="16" t="s">
        <v>80</v>
      </c>
      <c r="H245" s="20">
        <f>InputData[[#This Row],[Transacted Units]]*InputData[[#This Row],[Transacted Price (per unit)]]</f>
        <v>50.629800000000003</v>
      </c>
      <c r="I245" s="14"/>
    </row>
    <row r="246" spans="1:9" ht="15.75" customHeight="1" x14ac:dyDescent="0.25">
      <c r="A246" s="16" t="s">
        <v>29</v>
      </c>
      <c r="B246" s="21">
        <v>44483</v>
      </c>
      <c r="C246" s="16" t="s">
        <v>4</v>
      </c>
      <c r="D246" s="17">
        <v>4.7E-2</v>
      </c>
      <c r="E246" s="18">
        <v>649.9</v>
      </c>
      <c r="F246" s="18">
        <v>4.6999999999999997E-5</v>
      </c>
      <c r="G246" s="16" t="s">
        <v>80</v>
      </c>
      <c r="H246" s="20">
        <f>InputData[[#This Row],[Transacted Units]]*InputData[[#This Row],[Transacted Price (per unit)]]</f>
        <v>30.545299999999997</v>
      </c>
      <c r="I246" s="14"/>
    </row>
    <row r="247" spans="1:9" ht="15.75" customHeight="1" x14ac:dyDescent="0.25">
      <c r="A247" s="16" t="s">
        <v>29</v>
      </c>
      <c r="B247" s="21">
        <v>44483</v>
      </c>
      <c r="C247" s="16" t="s">
        <v>4</v>
      </c>
      <c r="D247" s="17">
        <v>7.9000000000000001E-2</v>
      </c>
      <c r="E247" s="18">
        <v>641</v>
      </c>
      <c r="F247" s="18">
        <v>7.8999999999999996E-5</v>
      </c>
      <c r="G247" s="16" t="s">
        <v>80</v>
      </c>
      <c r="H247" s="20">
        <f>InputData[[#This Row],[Transacted Units]]*InputData[[#This Row],[Transacted Price (per unit)]]</f>
        <v>50.639000000000003</v>
      </c>
      <c r="I247" s="14"/>
    </row>
    <row r="248" spans="1:9" ht="15.75" customHeight="1" x14ac:dyDescent="0.25">
      <c r="A248" s="16" t="s">
        <v>29</v>
      </c>
      <c r="B248" s="21">
        <v>44483</v>
      </c>
      <c r="C248" s="16" t="s">
        <v>4</v>
      </c>
      <c r="D248" s="17">
        <v>4.7E-2</v>
      </c>
      <c r="E248" s="18">
        <v>641.79999999999995</v>
      </c>
      <c r="F248" s="18">
        <v>4.6999999999999997E-5</v>
      </c>
      <c r="G248" s="16" t="s">
        <v>80</v>
      </c>
      <c r="H248" s="20">
        <f>InputData[[#This Row],[Transacted Units]]*InputData[[#This Row],[Transacted Price (per unit)]]</f>
        <v>30.164599999999997</v>
      </c>
      <c r="I248" s="14"/>
    </row>
    <row r="249" spans="1:9" ht="15.75" customHeight="1" x14ac:dyDescent="0.25">
      <c r="A249" s="16" t="s">
        <v>29</v>
      </c>
      <c r="B249" s="21">
        <v>44483</v>
      </c>
      <c r="C249" s="16" t="s">
        <v>4</v>
      </c>
      <c r="D249" s="17">
        <v>1.7999999999999999E-2</v>
      </c>
      <c r="E249" s="18">
        <v>626.20000000000005</v>
      </c>
      <c r="F249" s="18">
        <v>1.8E-5</v>
      </c>
      <c r="G249" s="16" t="s">
        <v>80</v>
      </c>
      <c r="H249" s="20">
        <f>InputData[[#This Row],[Transacted Units]]*InputData[[#This Row],[Transacted Price (per unit)]]</f>
        <v>11.271599999999999</v>
      </c>
      <c r="I249" s="14"/>
    </row>
    <row r="250" spans="1:9" ht="15.75" customHeight="1" x14ac:dyDescent="0.25">
      <c r="A250" s="16" t="s">
        <v>29</v>
      </c>
      <c r="B250" s="21">
        <v>44483</v>
      </c>
      <c r="C250" s="16" t="s">
        <v>4</v>
      </c>
      <c r="D250" s="17">
        <v>0.16200000000000001</v>
      </c>
      <c r="E250" s="18">
        <v>626.20000000000005</v>
      </c>
      <c r="F250" s="18">
        <v>1.6200000000000001E-4</v>
      </c>
      <c r="G250" s="16" t="s">
        <v>80</v>
      </c>
      <c r="H250" s="20">
        <f>InputData[[#This Row],[Transacted Units]]*InputData[[#This Row],[Transacted Price (per unit)]]</f>
        <v>101.44440000000002</v>
      </c>
      <c r="I250" s="14"/>
    </row>
    <row r="251" spans="1:9" ht="15.75" customHeight="1" x14ac:dyDescent="0.25">
      <c r="A251" s="16" t="s">
        <v>29</v>
      </c>
      <c r="B251" s="21">
        <v>44483</v>
      </c>
      <c r="C251" s="16" t="s">
        <v>4</v>
      </c>
      <c r="D251" s="17">
        <v>0.11899999999999999</v>
      </c>
      <c r="E251" s="18">
        <v>631</v>
      </c>
      <c r="F251" s="18">
        <v>1.1900000000000001E-4</v>
      </c>
      <c r="G251" s="16" t="s">
        <v>80</v>
      </c>
      <c r="H251" s="20">
        <f>InputData[[#This Row],[Transacted Units]]*InputData[[#This Row],[Transacted Price (per unit)]]</f>
        <v>75.088999999999999</v>
      </c>
      <c r="I251" s="14"/>
    </row>
    <row r="252" spans="1:9" ht="15.75" customHeight="1" x14ac:dyDescent="0.25">
      <c r="A252" s="16" t="s">
        <v>29</v>
      </c>
      <c r="B252" s="21">
        <v>44482</v>
      </c>
      <c r="C252" s="16" t="s">
        <v>4</v>
      </c>
      <c r="D252" s="17">
        <v>7.9000000000000001E-2</v>
      </c>
      <c r="E252" s="18">
        <v>633.6</v>
      </c>
      <c r="F252" s="18">
        <v>7.8999999999999996E-5</v>
      </c>
      <c r="G252" s="16" t="s">
        <v>80</v>
      </c>
      <c r="H252" s="20">
        <f>InputData[[#This Row],[Transacted Units]]*InputData[[#This Row],[Transacted Price (per unit)]]</f>
        <v>50.054400000000001</v>
      </c>
      <c r="I252" s="14"/>
    </row>
    <row r="253" spans="1:9" ht="15.75" customHeight="1" x14ac:dyDescent="0.25">
      <c r="A253" s="16" t="s">
        <v>29</v>
      </c>
      <c r="B253" s="21">
        <v>44482</v>
      </c>
      <c r="C253" s="16" t="s">
        <v>4</v>
      </c>
      <c r="D253" s="17">
        <v>4.8000000000000001E-2</v>
      </c>
      <c r="E253" s="18">
        <v>634.29999999999995</v>
      </c>
      <c r="F253" s="18">
        <v>4.8000000000000001E-5</v>
      </c>
      <c r="G253" s="16" t="s">
        <v>80</v>
      </c>
      <c r="H253" s="20">
        <f>InputData[[#This Row],[Transacted Units]]*InputData[[#This Row],[Transacted Price (per unit)]]</f>
        <v>30.446399999999997</v>
      </c>
      <c r="I253" s="14"/>
    </row>
    <row r="254" spans="1:9" ht="15.75" customHeight="1" x14ac:dyDescent="0.25">
      <c r="A254" s="16" t="s">
        <v>29</v>
      </c>
      <c r="B254" s="21">
        <v>44482</v>
      </c>
      <c r="C254" s="16" t="s">
        <v>4</v>
      </c>
      <c r="D254" s="17">
        <v>0.27500000000000002</v>
      </c>
      <c r="E254" s="18">
        <v>615.20000000000005</v>
      </c>
      <c r="F254" s="18">
        <v>2.7500000000000002E-4</v>
      </c>
      <c r="G254" s="16" t="s">
        <v>80</v>
      </c>
      <c r="H254" s="20">
        <f>InputData[[#This Row],[Transacted Units]]*InputData[[#This Row],[Transacted Price (per unit)]]</f>
        <v>169.18000000000004</v>
      </c>
      <c r="I254" s="14"/>
    </row>
    <row r="255" spans="1:9" ht="15.75" customHeight="1" x14ac:dyDescent="0.25">
      <c r="A255" s="16" t="s">
        <v>29</v>
      </c>
      <c r="B255" s="21">
        <v>44482</v>
      </c>
      <c r="C255" s="16" t="s">
        <v>4</v>
      </c>
      <c r="D255" s="17">
        <v>0.18099999999999999</v>
      </c>
      <c r="E255" s="18">
        <v>624.29999999999995</v>
      </c>
      <c r="F255" s="18">
        <v>1.8100000000000001E-4</v>
      </c>
      <c r="G255" s="16" t="s">
        <v>80</v>
      </c>
      <c r="H255" s="20">
        <f>InputData[[#This Row],[Transacted Units]]*InputData[[#This Row],[Transacted Price (per unit)]]</f>
        <v>112.99829999999999</v>
      </c>
      <c r="I255" s="14"/>
    </row>
    <row r="256" spans="1:9" ht="15.75" customHeight="1" x14ac:dyDescent="0.25">
      <c r="A256" s="16" t="s">
        <v>29</v>
      </c>
      <c r="B256" s="21">
        <v>44482</v>
      </c>
      <c r="C256" s="16" t="s">
        <v>4</v>
      </c>
      <c r="D256" s="17">
        <v>0.12</v>
      </c>
      <c r="E256" s="18">
        <v>629.1</v>
      </c>
      <c r="F256" s="18">
        <v>1.2E-4</v>
      </c>
      <c r="G256" s="16" t="s">
        <v>80</v>
      </c>
      <c r="H256" s="20">
        <f>InputData[[#This Row],[Transacted Units]]*InputData[[#This Row],[Transacted Price (per unit)]]</f>
        <v>75.492000000000004</v>
      </c>
      <c r="I256" s="14"/>
    </row>
    <row r="257" spans="1:9" ht="15.75" customHeight="1" x14ac:dyDescent="0.25">
      <c r="A257" s="16" t="s">
        <v>29</v>
      </c>
      <c r="B257" s="21">
        <v>44482</v>
      </c>
      <c r="C257" s="16" t="s">
        <v>4</v>
      </c>
      <c r="D257" s="17">
        <v>0.08</v>
      </c>
      <c r="E257" s="18">
        <v>631.70000000000005</v>
      </c>
      <c r="F257" s="18">
        <v>8.0000000000000007E-5</v>
      </c>
      <c r="G257" s="16" t="s">
        <v>80</v>
      </c>
      <c r="H257" s="20">
        <f>InputData[[#This Row],[Transacted Units]]*InputData[[#This Row],[Transacted Price (per unit)]]</f>
        <v>50.536000000000001</v>
      </c>
      <c r="I257" s="14"/>
    </row>
    <row r="258" spans="1:9" ht="15.75" customHeight="1" x14ac:dyDescent="0.25">
      <c r="A258" s="16" t="s">
        <v>29</v>
      </c>
      <c r="B258" s="21">
        <v>44482</v>
      </c>
      <c r="C258" s="16" t="s">
        <v>4</v>
      </c>
      <c r="D258" s="17">
        <v>4.8000000000000001E-2</v>
      </c>
      <c r="E258" s="18">
        <v>632.4</v>
      </c>
      <c r="F258" s="18">
        <v>4.8000000000000001E-5</v>
      </c>
      <c r="G258" s="16" t="s">
        <v>80</v>
      </c>
      <c r="H258" s="20">
        <f>InputData[[#This Row],[Transacted Units]]*InputData[[#This Row],[Transacted Price (per unit)]]</f>
        <v>30.3552</v>
      </c>
      <c r="I258" s="14"/>
    </row>
    <row r="259" spans="1:9" ht="15.75" customHeight="1" x14ac:dyDescent="0.25">
      <c r="A259" s="16" t="s">
        <v>29</v>
      </c>
      <c r="B259" s="21">
        <v>44482</v>
      </c>
      <c r="C259" s="16" t="s">
        <v>4</v>
      </c>
      <c r="D259" s="17">
        <v>0.219</v>
      </c>
      <c r="E259" s="18">
        <v>617</v>
      </c>
      <c r="F259" s="18">
        <v>2.1900000000000001E-4</v>
      </c>
      <c r="G259" s="16" t="s">
        <v>80</v>
      </c>
      <c r="H259" s="20">
        <f>InputData[[#This Row],[Transacted Units]]*InputData[[#This Row],[Transacted Price (per unit)]]</f>
        <v>135.12299999999999</v>
      </c>
      <c r="I259" s="14"/>
    </row>
    <row r="260" spans="1:9" ht="15.75" customHeight="1" x14ac:dyDescent="0.25">
      <c r="A260" s="16" t="s">
        <v>29</v>
      </c>
      <c r="B260" s="21">
        <v>44482</v>
      </c>
      <c r="C260" s="16" t="s">
        <v>4</v>
      </c>
      <c r="D260" s="17">
        <v>0.14399999999999999</v>
      </c>
      <c r="E260" s="18">
        <v>626.1</v>
      </c>
      <c r="F260" s="18">
        <v>1.44E-4</v>
      </c>
      <c r="G260" s="16" t="s">
        <v>80</v>
      </c>
      <c r="H260" s="20">
        <f>InputData[[#This Row],[Transacted Units]]*InputData[[#This Row],[Transacted Price (per unit)]]</f>
        <v>90.1584</v>
      </c>
      <c r="I260" s="14"/>
    </row>
    <row r="261" spans="1:9" ht="15.75" customHeight="1" x14ac:dyDescent="0.25">
      <c r="A261" s="16" t="s">
        <v>29</v>
      </c>
      <c r="B261" s="21">
        <v>44482</v>
      </c>
      <c r="C261" s="16" t="s">
        <v>4</v>
      </c>
      <c r="D261" s="17">
        <v>9.6000000000000002E-2</v>
      </c>
      <c r="E261" s="18">
        <v>630.9</v>
      </c>
      <c r="F261" s="18">
        <v>9.6000000000000002E-5</v>
      </c>
      <c r="G261" s="16" t="s">
        <v>80</v>
      </c>
      <c r="H261" s="20">
        <f>InputData[[#This Row],[Transacted Units]]*InputData[[#This Row],[Transacted Price (per unit)]]</f>
        <v>60.566400000000002</v>
      </c>
      <c r="I261" s="14"/>
    </row>
    <row r="262" spans="1:9" ht="15.75" customHeight="1" x14ac:dyDescent="0.25">
      <c r="A262" s="16" t="s">
        <v>29</v>
      </c>
      <c r="B262" s="21">
        <v>44482</v>
      </c>
      <c r="C262" s="16" t="s">
        <v>4</v>
      </c>
      <c r="D262" s="17">
        <v>6.4000000000000001E-2</v>
      </c>
      <c r="E262" s="18">
        <v>632.79999999999995</v>
      </c>
      <c r="F262" s="18">
        <v>6.3999999999999997E-5</v>
      </c>
      <c r="G262" s="16" t="s">
        <v>80</v>
      </c>
      <c r="H262" s="20">
        <f>InputData[[#This Row],[Transacted Units]]*InputData[[#This Row],[Transacted Price (per unit)]]</f>
        <v>40.499199999999995</v>
      </c>
      <c r="I262" s="14"/>
    </row>
    <row r="263" spans="1:9" ht="15.75" customHeight="1" x14ac:dyDescent="0.25">
      <c r="A263" s="16" t="s">
        <v>29</v>
      </c>
      <c r="B263" s="21">
        <v>44482</v>
      </c>
      <c r="C263" s="16" t="s">
        <v>4</v>
      </c>
      <c r="D263" s="17">
        <v>3.2000000000000001E-2</v>
      </c>
      <c r="E263" s="18">
        <v>634.20000000000005</v>
      </c>
      <c r="F263" s="18">
        <v>3.1999999999999999E-5</v>
      </c>
      <c r="G263" s="16" t="s">
        <v>80</v>
      </c>
      <c r="H263" s="20">
        <f>InputData[[#This Row],[Transacted Units]]*InputData[[#This Row],[Transacted Price (per unit)]]</f>
        <v>20.294400000000003</v>
      </c>
      <c r="I263" s="14"/>
    </row>
    <row r="264" spans="1:9" ht="15.75" customHeight="1" x14ac:dyDescent="0.25">
      <c r="A264" s="16" t="s">
        <v>29</v>
      </c>
      <c r="B264" s="21">
        <v>44482</v>
      </c>
      <c r="C264" s="16" t="s">
        <v>4</v>
      </c>
      <c r="D264" s="17">
        <v>3.2000000000000001E-2</v>
      </c>
      <c r="E264" s="18">
        <v>625.9</v>
      </c>
      <c r="F264" s="18">
        <v>3.1999999999999999E-5</v>
      </c>
      <c r="G264" s="16" t="s">
        <v>80</v>
      </c>
      <c r="H264" s="20">
        <f>InputData[[#This Row],[Transacted Units]]*InputData[[#This Row],[Transacted Price (per unit)]]</f>
        <v>20.0288</v>
      </c>
      <c r="I264" s="14"/>
    </row>
    <row r="265" spans="1:9" ht="15.75" customHeight="1" x14ac:dyDescent="0.25">
      <c r="A265" s="16" t="s">
        <v>29</v>
      </c>
      <c r="B265" s="21">
        <v>44482</v>
      </c>
      <c r="C265" s="16" t="s">
        <v>4</v>
      </c>
      <c r="D265" s="17">
        <v>3.3000000000000002E-2</v>
      </c>
      <c r="E265" s="18">
        <v>615.9</v>
      </c>
      <c r="F265" s="18">
        <v>3.3000000000000003E-5</v>
      </c>
      <c r="G265" s="16" t="s">
        <v>80</v>
      </c>
      <c r="H265" s="20">
        <f>InputData[[#This Row],[Transacted Units]]*InputData[[#This Row],[Transacted Price (per unit)]]</f>
        <v>20.3247</v>
      </c>
      <c r="I265" s="14"/>
    </row>
    <row r="266" spans="1:9" ht="15.75" customHeight="1" x14ac:dyDescent="0.25">
      <c r="A266" s="16" t="s">
        <v>29</v>
      </c>
      <c r="B266" s="21">
        <v>44482</v>
      </c>
      <c r="C266" s="16" t="s">
        <v>4</v>
      </c>
      <c r="D266" s="17">
        <v>0.23899999999999999</v>
      </c>
      <c r="E266" s="18">
        <v>604.29999999999995</v>
      </c>
      <c r="F266" s="18">
        <v>2.3900000000000001E-4</v>
      </c>
      <c r="G266" s="16" t="s">
        <v>80</v>
      </c>
      <c r="H266" s="20">
        <f>InputData[[#This Row],[Transacted Units]]*InputData[[#This Row],[Transacted Price (per unit)]]</f>
        <v>144.42769999999999</v>
      </c>
      <c r="I266" s="14"/>
    </row>
    <row r="267" spans="1:9" ht="15.75" customHeight="1" x14ac:dyDescent="0.25">
      <c r="A267" s="16" t="s">
        <v>29</v>
      </c>
      <c r="B267" s="21">
        <v>44482</v>
      </c>
      <c r="C267" s="16" t="s">
        <v>4</v>
      </c>
      <c r="D267" s="17">
        <v>3.2000000000000001E-2</v>
      </c>
      <c r="E267" s="18">
        <v>637</v>
      </c>
      <c r="F267" s="18">
        <v>3.1999999999999999E-5</v>
      </c>
      <c r="G267" s="16" t="s">
        <v>80</v>
      </c>
      <c r="H267" s="20">
        <f>InputData[[#This Row],[Transacted Units]]*InputData[[#This Row],[Transacted Price (per unit)]]</f>
        <v>20.384</v>
      </c>
      <c r="I267" s="14"/>
    </row>
    <row r="268" spans="1:9" ht="15.75" customHeight="1" x14ac:dyDescent="0.25">
      <c r="A268" s="16" t="s">
        <v>29</v>
      </c>
      <c r="B268" s="21">
        <v>44482</v>
      </c>
      <c r="C268" s="16" t="s">
        <v>4</v>
      </c>
      <c r="D268" s="17">
        <v>3.2000000000000001E-2</v>
      </c>
      <c r="E268" s="18">
        <v>628.29999999999995</v>
      </c>
      <c r="F268" s="18">
        <v>3.1999999999999999E-5</v>
      </c>
      <c r="G268" s="16" t="s">
        <v>80</v>
      </c>
      <c r="H268" s="20">
        <f>InputData[[#This Row],[Transacted Units]]*InputData[[#This Row],[Transacted Price (per unit)]]</f>
        <v>20.105599999999999</v>
      </c>
      <c r="I268" s="14"/>
    </row>
    <row r="269" spans="1:9" ht="15.75" customHeight="1" x14ac:dyDescent="0.25">
      <c r="A269" s="16" t="s">
        <v>29</v>
      </c>
      <c r="B269" s="21">
        <v>44482</v>
      </c>
      <c r="C269" s="16" t="s">
        <v>4</v>
      </c>
      <c r="D269" s="17">
        <v>3.3000000000000002E-2</v>
      </c>
      <c r="E269" s="18">
        <v>620.70000000000005</v>
      </c>
      <c r="F269" s="18">
        <v>3.3000000000000003E-5</v>
      </c>
      <c r="G269" s="16" t="s">
        <v>80</v>
      </c>
      <c r="H269" s="20">
        <f>InputData[[#This Row],[Transacted Units]]*InputData[[#This Row],[Transacted Price (per unit)]]</f>
        <v>20.483100000000004</v>
      </c>
      <c r="I269" s="14"/>
    </row>
    <row r="270" spans="1:9" ht="15.75" customHeight="1" x14ac:dyDescent="0.25">
      <c r="A270" s="16" t="s">
        <v>29</v>
      </c>
      <c r="B270" s="21">
        <v>44482</v>
      </c>
      <c r="C270" s="16" t="s">
        <v>4</v>
      </c>
      <c r="D270" s="17">
        <v>3.3000000000000002E-2</v>
      </c>
      <c r="E270" s="18">
        <v>612.79999999999995</v>
      </c>
      <c r="F270" s="18">
        <v>3.3000000000000003E-5</v>
      </c>
      <c r="G270" s="16" t="s">
        <v>80</v>
      </c>
      <c r="H270" s="20">
        <f>InputData[[#This Row],[Transacted Units]]*InputData[[#This Row],[Transacted Price (per unit)]]</f>
        <v>20.2224</v>
      </c>
      <c r="I270" s="14"/>
    </row>
    <row r="271" spans="1:9" ht="15.75" customHeight="1" x14ac:dyDescent="0.25">
      <c r="A271" s="16" t="s">
        <v>29</v>
      </c>
      <c r="B271" s="21">
        <v>44481</v>
      </c>
      <c r="C271" s="16" t="s">
        <v>4</v>
      </c>
      <c r="D271" s="17">
        <v>3.4000000000000002E-2</v>
      </c>
      <c r="E271" s="18">
        <v>601.1</v>
      </c>
      <c r="F271" s="18">
        <v>3.4E-5</v>
      </c>
      <c r="G271" s="16" t="s">
        <v>80</v>
      </c>
      <c r="H271" s="20">
        <f>InputData[[#This Row],[Transacted Units]]*InputData[[#This Row],[Transacted Price (per unit)]]</f>
        <v>20.437400000000004</v>
      </c>
      <c r="I271" s="14"/>
    </row>
    <row r="272" spans="1:9" ht="15.75" customHeight="1" x14ac:dyDescent="0.25">
      <c r="A272" s="16" t="s">
        <v>29</v>
      </c>
      <c r="B272" s="21">
        <v>44481</v>
      </c>
      <c r="C272" s="16" t="s">
        <v>4</v>
      </c>
      <c r="D272" s="17">
        <v>3.4000000000000002E-2</v>
      </c>
      <c r="E272" s="18">
        <v>594.20000000000005</v>
      </c>
      <c r="F272" s="18">
        <v>3.4E-5</v>
      </c>
      <c r="G272" s="16" t="s">
        <v>80</v>
      </c>
      <c r="H272" s="20">
        <f>InputData[[#This Row],[Transacted Units]]*InputData[[#This Row],[Transacted Price (per unit)]]</f>
        <v>20.202800000000003</v>
      </c>
      <c r="I272" s="14"/>
    </row>
    <row r="273" spans="1:9" ht="15.75" customHeight="1" x14ac:dyDescent="0.25">
      <c r="A273" s="16" t="s">
        <v>29</v>
      </c>
      <c r="B273" s="21">
        <v>44481</v>
      </c>
      <c r="C273" s="16" t="s">
        <v>4</v>
      </c>
      <c r="D273" s="17">
        <v>3.5000000000000003E-2</v>
      </c>
      <c r="E273" s="18">
        <v>586</v>
      </c>
      <c r="F273" s="18">
        <v>3.4999999999999997E-5</v>
      </c>
      <c r="G273" s="16" t="s">
        <v>80</v>
      </c>
      <c r="H273" s="20">
        <f>InputData[[#This Row],[Transacted Units]]*InputData[[#This Row],[Transacted Price (per unit)]]</f>
        <v>20.51</v>
      </c>
      <c r="I273" s="14"/>
    </row>
    <row r="274" spans="1:9" ht="15.75" customHeight="1" x14ac:dyDescent="0.25">
      <c r="A274" s="16" t="s">
        <v>29</v>
      </c>
      <c r="B274" s="21">
        <v>44481</v>
      </c>
      <c r="C274" s="16" t="s">
        <v>4</v>
      </c>
      <c r="D274" s="17">
        <v>3.5000000000000003E-2</v>
      </c>
      <c r="E274" s="18">
        <v>578.5</v>
      </c>
      <c r="F274" s="18">
        <v>3.4999999999999997E-5</v>
      </c>
      <c r="G274" s="16" t="s">
        <v>80</v>
      </c>
      <c r="H274" s="20">
        <f>InputData[[#This Row],[Transacted Units]]*InputData[[#This Row],[Transacted Price (per unit)]]</f>
        <v>20.247500000000002</v>
      </c>
      <c r="I274" s="14"/>
    </row>
    <row r="275" spans="1:9" ht="15.75" customHeight="1" x14ac:dyDescent="0.25">
      <c r="A275" s="16" t="s">
        <v>29</v>
      </c>
      <c r="B275" s="21">
        <v>44481</v>
      </c>
      <c r="C275" s="16" t="s">
        <v>4</v>
      </c>
      <c r="D275" s="17">
        <v>3.5000000000000003E-2</v>
      </c>
      <c r="E275" s="18">
        <v>571.79999999999995</v>
      </c>
      <c r="F275" s="18">
        <v>3.4999999999999997E-5</v>
      </c>
      <c r="G275" s="16" t="s">
        <v>80</v>
      </c>
      <c r="H275" s="20">
        <f>InputData[[#This Row],[Transacted Units]]*InputData[[#This Row],[Transacted Price (per unit)]]</f>
        <v>20.013000000000002</v>
      </c>
      <c r="I275" s="14"/>
    </row>
    <row r="276" spans="1:9" ht="15.75" customHeight="1" x14ac:dyDescent="0.25">
      <c r="A276" s="16" t="s">
        <v>29</v>
      </c>
      <c r="B276" s="21">
        <v>44480</v>
      </c>
      <c r="C276" s="16" t="s">
        <v>4</v>
      </c>
      <c r="D276" s="17">
        <v>0.24399999999999999</v>
      </c>
      <c r="E276" s="18">
        <v>554.79999999999995</v>
      </c>
      <c r="F276" s="18">
        <v>2.4399999999999999E-4</v>
      </c>
      <c r="G276" s="16" t="s">
        <v>80</v>
      </c>
      <c r="H276" s="20">
        <f>InputData[[#This Row],[Transacted Units]]*InputData[[#This Row],[Transacted Price (per unit)]]</f>
        <v>135.37119999999999</v>
      </c>
      <c r="I276" s="14"/>
    </row>
    <row r="277" spans="1:9" ht="15.75" customHeight="1" x14ac:dyDescent="0.25">
      <c r="A277" s="16" t="s">
        <v>29</v>
      </c>
      <c r="B277" s="21">
        <v>44480</v>
      </c>
      <c r="C277" s="16" t="s">
        <v>4</v>
      </c>
      <c r="D277" s="17">
        <v>0.159</v>
      </c>
      <c r="E277" s="18">
        <v>566.70000000000005</v>
      </c>
      <c r="F277" s="18">
        <v>1.5899999999999999E-4</v>
      </c>
      <c r="G277" s="16" t="s">
        <v>80</v>
      </c>
      <c r="H277" s="20">
        <f>InputData[[#This Row],[Transacted Units]]*InputData[[#This Row],[Transacted Price (per unit)]]</f>
        <v>90.105300000000014</v>
      </c>
      <c r="I277" s="14"/>
    </row>
    <row r="278" spans="1:9" ht="15.75" customHeight="1" x14ac:dyDescent="0.25">
      <c r="A278" s="16" t="s">
        <v>29</v>
      </c>
      <c r="B278" s="21">
        <v>44480</v>
      </c>
      <c r="C278" s="16" t="s">
        <v>4</v>
      </c>
      <c r="D278" s="17">
        <v>0.105</v>
      </c>
      <c r="E278" s="18">
        <v>573</v>
      </c>
      <c r="F278" s="18">
        <v>1.05E-4</v>
      </c>
      <c r="G278" s="16" t="s">
        <v>80</v>
      </c>
      <c r="H278" s="20">
        <f>InputData[[#This Row],[Transacted Units]]*InputData[[#This Row],[Transacted Price (per unit)]]</f>
        <v>60.164999999999999</v>
      </c>
      <c r="I278" s="14"/>
    </row>
    <row r="279" spans="1:9" ht="15.75" customHeight="1" x14ac:dyDescent="0.25">
      <c r="A279" s="16" t="s">
        <v>29</v>
      </c>
      <c r="B279" s="21">
        <v>44480</v>
      </c>
      <c r="C279" s="16" t="s">
        <v>4</v>
      </c>
      <c r="D279" s="17">
        <v>7.0000000000000007E-2</v>
      </c>
      <c r="E279" s="18">
        <v>576.29999999999995</v>
      </c>
      <c r="F279" s="18">
        <v>6.9999999999999994E-5</v>
      </c>
      <c r="G279" s="16" t="s">
        <v>80</v>
      </c>
      <c r="H279" s="20">
        <f>InputData[[#This Row],[Transacted Units]]*InputData[[#This Row],[Transacted Price (per unit)]]</f>
        <v>40.341000000000001</v>
      </c>
      <c r="I279" s="14"/>
    </row>
    <row r="280" spans="1:9" ht="15.75" customHeight="1" x14ac:dyDescent="0.25">
      <c r="A280" s="16" t="s">
        <v>29</v>
      </c>
      <c r="B280" s="21">
        <v>44480</v>
      </c>
      <c r="C280" s="16" t="s">
        <v>4</v>
      </c>
      <c r="D280" s="17">
        <v>3.5000000000000003E-2</v>
      </c>
      <c r="E280" s="18">
        <v>577.5</v>
      </c>
      <c r="F280" s="18">
        <v>3.4999999999999997E-5</v>
      </c>
      <c r="G280" s="16" t="s">
        <v>80</v>
      </c>
      <c r="H280" s="20">
        <f>InputData[[#This Row],[Transacted Units]]*InputData[[#This Row],[Transacted Price (per unit)]]</f>
        <v>20.212500000000002</v>
      </c>
      <c r="I280" s="14"/>
    </row>
    <row r="281" spans="1:9" ht="15.75" customHeight="1" x14ac:dyDescent="0.25">
      <c r="A281" s="16" t="s">
        <v>29</v>
      </c>
      <c r="B281" s="21">
        <v>44480</v>
      </c>
      <c r="C281" s="16" t="s">
        <v>4</v>
      </c>
      <c r="D281" s="17">
        <v>7.0999999999999994E-2</v>
      </c>
      <c r="E281" s="18">
        <v>563.79999999999995</v>
      </c>
      <c r="F281" s="18">
        <v>7.1000000000000005E-5</v>
      </c>
      <c r="G281" s="16" t="s">
        <v>80</v>
      </c>
      <c r="H281" s="20">
        <f>InputData[[#This Row],[Transacted Units]]*InputData[[#This Row],[Transacted Price (per unit)]]</f>
        <v>40.029799999999994</v>
      </c>
      <c r="I281" s="14"/>
    </row>
    <row r="282" spans="1:9" ht="15.75" customHeight="1" x14ac:dyDescent="0.25">
      <c r="A282" s="16" t="s">
        <v>29</v>
      </c>
      <c r="B282" s="21">
        <v>44476</v>
      </c>
      <c r="C282" s="16" t="s">
        <v>4</v>
      </c>
      <c r="D282" s="17">
        <v>1.026</v>
      </c>
      <c r="E282" s="18">
        <v>616.9</v>
      </c>
      <c r="F282" s="18">
        <v>1.026E-3</v>
      </c>
      <c r="G282" s="16" t="s">
        <v>80</v>
      </c>
      <c r="H282" s="20">
        <f>InputData[[#This Row],[Transacted Units]]*InputData[[#This Row],[Transacted Price (per unit)]]</f>
        <v>632.93939999999998</v>
      </c>
      <c r="I282" s="14"/>
    </row>
    <row r="283" spans="1:9" ht="15.75" customHeight="1" x14ac:dyDescent="0.25">
      <c r="A283" s="16" t="s">
        <v>29</v>
      </c>
      <c r="B283" s="21">
        <v>44473</v>
      </c>
      <c r="C283" s="16" t="s">
        <v>4</v>
      </c>
      <c r="D283" s="17">
        <v>0.75</v>
      </c>
      <c r="E283" s="18">
        <v>569.5</v>
      </c>
      <c r="F283" s="18">
        <v>7.5000000000000002E-4</v>
      </c>
      <c r="G283" s="16" t="s">
        <v>80</v>
      </c>
      <c r="H283" s="20">
        <f>InputData[[#This Row],[Transacted Units]]*InputData[[#This Row],[Transacted Price (per unit)]]</f>
        <v>427.125</v>
      </c>
      <c r="I283" s="14"/>
    </row>
    <row r="284" spans="1:9" ht="15.75" customHeight="1" x14ac:dyDescent="0.25">
      <c r="A284" s="16" t="s">
        <v>29</v>
      </c>
      <c r="B284" s="21">
        <v>44522</v>
      </c>
      <c r="C284" s="16" t="s">
        <v>5</v>
      </c>
      <c r="D284" s="17">
        <v>0.155</v>
      </c>
      <c r="E284" s="18">
        <v>790.2</v>
      </c>
      <c r="F284" s="18">
        <v>0.12248100000000001</v>
      </c>
      <c r="G284" s="16" t="s">
        <v>80</v>
      </c>
      <c r="H284" s="20">
        <f>InputData[[#This Row],[Transacted Units]]*InputData[[#This Row],[Transacted Price (per unit)]]</f>
        <v>122.48100000000001</v>
      </c>
      <c r="I284" s="14"/>
    </row>
    <row r="285" spans="1:9" ht="15.75" customHeight="1" x14ac:dyDescent="0.25">
      <c r="A285" s="16" t="s">
        <v>29</v>
      </c>
      <c r="B285" s="21">
        <v>44495</v>
      </c>
      <c r="C285" s="16" t="s">
        <v>5</v>
      </c>
      <c r="D285" s="17">
        <v>0.44900000000000001</v>
      </c>
      <c r="E285" s="18">
        <v>650.70000000000005</v>
      </c>
      <c r="F285" s="18">
        <v>0.29216429999999999</v>
      </c>
      <c r="G285" s="16" t="s">
        <v>80</v>
      </c>
      <c r="H285" s="20">
        <f>InputData[[#This Row],[Transacted Units]]*InputData[[#This Row],[Transacted Price (per unit)]]</f>
        <v>292.16430000000003</v>
      </c>
      <c r="I285" s="14"/>
    </row>
    <row r="286" spans="1:9" ht="15.75" customHeight="1" x14ac:dyDescent="0.25">
      <c r="A286" s="16" t="s">
        <v>29</v>
      </c>
      <c r="B286" s="21">
        <v>44494</v>
      </c>
      <c r="C286" s="16" t="s">
        <v>5</v>
      </c>
      <c r="D286" s="17">
        <v>7.8E-2</v>
      </c>
      <c r="E286" s="18">
        <v>650.79999999999995</v>
      </c>
      <c r="F286" s="18">
        <v>5.0762399999999999E-2</v>
      </c>
      <c r="G286" s="16" t="s">
        <v>80</v>
      </c>
      <c r="H286" s="20">
        <f>InputData[[#This Row],[Transacted Units]]*InputData[[#This Row],[Transacted Price (per unit)]]</f>
        <v>50.7624</v>
      </c>
      <c r="I286" s="14"/>
    </row>
    <row r="287" spans="1:9" ht="15.75" customHeight="1" x14ac:dyDescent="0.25">
      <c r="A287" s="16" t="s">
        <v>29</v>
      </c>
      <c r="B287" s="21">
        <v>44494</v>
      </c>
      <c r="C287" s="16" t="s">
        <v>5</v>
      </c>
      <c r="D287" s="17">
        <v>1.238</v>
      </c>
      <c r="E287" s="18">
        <v>642.9</v>
      </c>
      <c r="F287" s="18">
        <v>0.79591020000000001</v>
      </c>
      <c r="G287" s="16" t="s">
        <v>80</v>
      </c>
      <c r="H287" s="20">
        <f>InputData[[#This Row],[Transacted Units]]*InputData[[#This Row],[Transacted Price (per unit)]]</f>
        <v>795.91019999999992</v>
      </c>
      <c r="I287" s="14"/>
    </row>
    <row r="288" spans="1:9" ht="15.75" customHeight="1" x14ac:dyDescent="0.25">
      <c r="A288" s="16" t="s">
        <v>29</v>
      </c>
      <c r="B288" s="21">
        <v>44492</v>
      </c>
      <c r="C288" s="16" t="s">
        <v>5</v>
      </c>
      <c r="D288" s="17">
        <v>1.22</v>
      </c>
      <c r="E288" s="18">
        <v>652.20000000000005</v>
      </c>
      <c r="F288" s="18">
        <v>0.79568399999999995</v>
      </c>
      <c r="G288" s="16" t="s">
        <v>80</v>
      </c>
      <c r="H288" s="20">
        <f>InputData[[#This Row],[Transacted Units]]*InputData[[#This Row],[Transacted Price (per unit)]]</f>
        <v>795.68400000000008</v>
      </c>
      <c r="I288" s="14"/>
    </row>
    <row r="289" spans="1:9" ht="15.75" customHeight="1" x14ac:dyDescent="0.25">
      <c r="A289" s="16" t="s">
        <v>29</v>
      </c>
      <c r="B289" s="21">
        <v>44491</v>
      </c>
      <c r="C289" s="16" t="s">
        <v>5</v>
      </c>
      <c r="D289" s="17">
        <v>0.22800000000000001</v>
      </c>
      <c r="E289" s="18">
        <v>659.7</v>
      </c>
      <c r="F289" s="18">
        <v>0.15041160000000001</v>
      </c>
      <c r="G289" s="16" t="s">
        <v>80</v>
      </c>
      <c r="H289" s="20">
        <f>InputData[[#This Row],[Transacted Units]]*InputData[[#This Row],[Transacted Price (per unit)]]</f>
        <v>150.41160000000002</v>
      </c>
      <c r="I289" s="14"/>
    </row>
    <row r="290" spans="1:9" ht="15.75" customHeight="1" x14ac:dyDescent="0.25">
      <c r="A290" s="16" t="s">
        <v>29</v>
      </c>
      <c r="B290" s="21">
        <v>44491</v>
      </c>
      <c r="C290" s="16" t="s">
        <v>5</v>
      </c>
      <c r="D290" s="17">
        <v>1.5369999999999999</v>
      </c>
      <c r="E290" s="18">
        <v>653.5</v>
      </c>
      <c r="F290" s="18">
        <v>1.0044295000000001</v>
      </c>
      <c r="G290" s="16" t="s">
        <v>80</v>
      </c>
      <c r="H290" s="20">
        <f>InputData[[#This Row],[Transacted Units]]*InputData[[#This Row],[Transacted Price (per unit)]]</f>
        <v>1004.4295</v>
      </c>
      <c r="I290" s="14"/>
    </row>
    <row r="291" spans="1:9" ht="15.75" customHeight="1" x14ac:dyDescent="0.25">
      <c r="A291" s="16" t="s">
        <v>29</v>
      </c>
      <c r="B291" s="21">
        <v>44491</v>
      </c>
      <c r="C291" s="16" t="s">
        <v>5</v>
      </c>
      <c r="D291" s="17">
        <v>0.13300000000000001</v>
      </c>
      <c r="E291" s="18">
        <v>653.6</v>
      </c>
      <c r="F291" s="18">
        <v>8.6928800000000001E-2</v>
      </c>
      <c r="G291" s="16" t="s">
        <v>80</v>
      </c>
      <c r="H291" s="20">
        <f>InputData[[#This Row],[Transacted Units]]*InputData[[#This Row],[Transacted Price (per unit)]]</f>
        <v>86.92880000000001</v>
      </c>
      <c r="I291" s="14"/>
    </row>
    <row r="292" spans="1:9" ht="15.75" customHeight="1" x14ac:dyDescent="0.25">
      <c r="A292" s="16" t="s">
        <v>29</v>
      </c>
      <c r="B292" s="21">
        <v>44491</v>
      </c>
      <c r="C292" s="16" t="s">
        <v>5</v>
      </c>
      <c r="D292" s="17">
        <v>1.4690000000000001</v>
      </c>
      <c r="E292" s="18">
        <v>653.70000000000005</v>
      </c>
      <c r="F292" s="18">
        <v>0.96028530000000001</v>
      </c>
      <c r="G292" s="16" t="s">
        <v>80</v>
      </c>
      <c r="H292" s="20">
        <f>InputData[[#This Row],[Transacted Units]]*InputData[[#This Row],[Transacted Price (per unit)]]</f>
        <v>960.28530000000012</v>
      </c>
      <c r="I292" s="14"/>
    </row>
    <row r="293" spans="1:9" ht="15.75" customHeight="1" x14ac:dyDescent="0.25">
      <c r="A293" s="16" t="s">
        <v>29</v>
      </c>
      <c r="B293" s="21">
        <v>44491</v>
      </c>
      <c r="C293" s="16" t="s">
        <v>5</v>
      </c>
      <c r="D293" s="17">
        <v>0.126</v>
      </c>
      <c r="E293" s="18">
        <v>653.5</v>
      </c>
      <c r="F293" s="18">
        <v>8.2340999999999998E-2</v>
      </c>
      <c r="G293" s="16" t="s">
        <v>80</v>
      </c>
      <c r="H293" s="20">
        <f>InputData[[#This Row],[Transacted Units]]*InputData[[#This Row],[Transacted Price (per unit)]]</f>
        <v>82.340999999999994</v>
      </c>
      <c r="I293" s="14"/>
    </row>
    <row r="294" spans="1:9" ht="15.75" customHeight="1" x14ac:dyDescent="0.25">
      <c r="A294" s="16" t="s">
        <v>29</v>
      </c>
      <c r="B294" s="21">
        <v>44489</v>
      </c>
      <c r="C294" s="16" t="s">
        <v>5</v>
      </c>
      <c r="D294" s="17">
        <v>1.6E-2</v>
      </c>
      <c r="E294" s="18">
        <v>672.5</v>
      </c>
      <c r="F294" s="18">
        <v>1.076E-2</v>
      </c>
      <c r="G294" s="16" t="s">
        <v>80</v>
      </c>
      <c r="H294" s="20">
        <f>InputData[[#This Row],[Transacted Units]]*InputData[[#This Row],[Transacted Price (per unit)]]</f>
        <v>10.76</v>
      </c>
      <c r="I294" s="14"/>
    </row>
    <row r="295" spans="1:9" ht="15.75" customHeight="1" x14ac:dyDescent="0.25">
      <c r="A295" s="16" t="s">
        <v>29</v>
      </c>
      <c r="B295" s="21">
        <v>44489</v>
      </c>
      <c r="C295" s="16" t="s">
        <v>5</v>
      </c>
      <c r="D295" s="17">
        <v>2.9000000000000001E-2</v>
      </c>
      <c r="E295" s="18">
        <v>672.5</v>
      </c>
      <c r="F295" s="18">
        <v>1.9502499999999999E-2</v>
      </c>
      <c r="G295" s="16" t="s">
        <v>80</v>
      </c>
      <c r="H295" s="20">
        <f>InputData[[#This Row],[Transacted Units]]*InputData[[#This Row],[Transacted Price (per unit)]]</f>
        <v>19.502500000000001</v>
      </c>
      <c r="I295" s="14"/>
    </row>
    <row r="296" spans="1:9" ht="15.75" customHeight="1" x14ac:dyDescent="0.25">
      <c r="A296" s="16" t="s">
        <v>29</v>
      </c>
      <c r="B296" s="21">
        <v>44489</v>
      </c>
      <c r="C296" s="16" t="s">
        <v>5</v>
      </c>
      <c r="D296" s="17">
        <v>0.03</v>
      </c>
      <c r="E296" s="18">
        <v>672.5</v>
      </c>
      <c r="F296" s="18">
        <v>2.0174999999999998E-2</v>
      </c>
      <c r="G296" s="16" t="s">
        <v>80</v>
      </c>
      <c r="H296" s="20">
        <f>InputData[[#This Row],[Transacted Units]]*InputData[[#This Row],[Transacted Price (per unit)]]</f>
        <v>20.175000000000001</v>
      </c>
      <c r="I296" s="14"/>
    </row>
    <row r="297" spans="1:9" ht="15.75" customHeight="1" x14ac:dyDescent="0.25">
      <c r="A297" s="16" t="s">
        <v>29</v>
      </c>
      <c r="B297" s="21">
        <v>44489</v>
      </c>
      <c r="C297" s="16" t="s">
        <v>5</v>
      </c>
      <c r="D297" s="17">
        <v>0.40500000000000003</v>
      </c>
      <c r="E297" s="18">
        <v>664.4</v>
      </c>
      <c r="F297" s="18">
        <v>0.26908199999999999</v>
      </c>
      <c r="G297" s="16" t="s">
        <v>80</v>
      </c>
      <c r="H297" s="20">
        <f>InputData[[#This Row],[Transacted Units]]*InputData[[#This Row],[Transacted Price (per unit)]]</f>
        <v>269.08199999999999</v>
      </c>
      <c r="I297" s="14"/>
    </row>
    <row r="298" spans="1:9" ht="15.75" customHeight="1" x14ac:dyDescent="0.25">
      <c r="A298" s="16" t="s">
        <v>29</v>
      </c>
      <c r="B298" s="21">
        <v>44488</v>
      </c>
      <c r="C298" s="16" t="s">
        <v>5</v>
      </c>
      <c r="D298" s="17">
        <v>0.121</v>
      </c>
      <c r="E298" s="18">
        <v>660.8</v>
      </c>
      <c r="F298" s="18">
        <v>7.9956799999999995E-2</v>
      </c>
      <c r="G298" s="16" t="s">
        <v>80</v>
      </c>
      <c r="H298" s="20">
        <f>InputData[[#This Row],[Transacted Units]]*InputData[[#This Row],[Transacted Price (per unit)]]</f>
        <v>79.956799999999987</v>
      </c>
      <c r="I298" s="14"/>
    </row>
    <row r="299" spans="1:9" ht="15.75" customHeight="1" x14ac:dyDescent="0.25">
      <c r="A299" s="16" t="s">
        <v>29</v>
      </c>
      <c r="B299" s="21">
        <v>44487</v>
      </c>
      <c r="C299" s="16" t="s">
        <v>5</v>
      </c>
      <c r="D299" s="17">
        <v>0.41199999999999998</v>
      </c>
      <c r="E299" s="18">
        <v>653.1</v>
      </c>
      <c r="F299" s="18">
        <v>0.26907720000000002</v>
      </c>
      <c r="G299" s="16" t="s">
        <v>80</v>
      </c>
      <c r="H299" s="20">
        <f>InputData[[#This Row],[Transacted Units]]*InputData[[#This Row],[Transacted Price (per unit)]]</f>
        <v>269.0772</v>
      </c>
      <c r="I299" s="14"/>
    </row>
    <row r="300" spans="1:9" ht="15.75" customHeight="1" x14ac:dyDescent="0.25">
      <c r="A300" s="16" t="s">
        <v>29</v>
      </c>
      <c r="B300" s="21">
        <v>44487</v>
      </c>
      <c r="C300" s="16" t="s">
        <v>5</v>
      </c>
      <c r="D300" s="17">
        <v>0.15</v>
      </c>
      <c r="E300" s="18">
        <v>650.9</v>
      </c>
      <c r="F300" s="18">
        <v>9.7635E-2</v>
      </c>
      <c r="G300" s="16" t="s">
        <v>80</v>
      </c>
      <c r="H300" s="20">
        <f>InputData[[#This Row],[Transacted Units]]*InputData[[#This Row],[Transacted Price (per unit)]]</f>
        <v>97.634999999999991</v>
      </c>
      <c r="I300" s="14"/>
    </row>
    <row r="301" spans="1:9" ht="15.75" customHeight="1" x14ac:dyDescent="0.25">
      <c r="A301" s="16" t="s">
        <v>29</v>
      </c>
      <c r="B301" s="21">
        <v>44487</v>
      </c>
      <c r="C301" s="16" t="s">
        <v>5</v>
      </c>
      <c r="D301" s="17">
        <v>0.158</v>
      </c>
      <c r="E301" s="18">
        <v>650.79999999999995</v>
      </c>
      <c r="F301" s="18">
        <v>0.1028264</v>
      </c>
      <c r="G301" s="16" t="s">
        <v>80</v>
      </c>
      <c r="H301" s="20">
        <f>InputData[[#This Row],[Transacted Units]]*InputData[[#This Row],[Transacted Price (per unit)]]</f>
        <v>102.82639999999999</v>
      </c>
      <c r="I301" s="14"/>
    </row>
    <row r="302" spans="1:9" ht="15.75" customHeight="1" x14ac:dyDescent="0.25">
      <c r="A302" s="16" t="s">
        <v>29</v>
      </c>
      <c r="B302" s="21">
        <v>44487</v>
      </c>
      <c r="C302" s="16" t="s">
        <v>5</v>
      </c>
      <c r="D302" s="17">
        <v>0.105</v>
      </c>
      <c r="E302" s="18">
        <v>651</v>
      </c>
      <c r="F302" s="18">
        <v>6.8354999999999999E-2</v>
      </c>
      <c r="G302" s="16" t="s">
        <v>80</v>
      </c>
      <c r="H302" s="20">
        <f>InputData[[#This Row],[Transacted Units]]*InputData[[#This Row],[Transacted Price (per unit)]]</f>
        <v>68.355000000000004</v>
      </c>
      <c r="I302" s="14"/>
    </row>
    <row r="303" spans="1:9" ht="15.75" customHeight="1" x14ac:dyDescent="0.25">
      <c r="A303" s="16" t="s">
        <v>29</v>
      </c>
      <c r="B303" s="21">
        <v>44487</v>
      </c>
      <c r="C303" s="16" t="s">
        <v>5</v>
      </c>
      <c r="D303" s="17">
        <v>0.92200000000000004</v>
      </c>
      <c r="E303" s="18">
        <v>646.1</v>
      </c>
      <c r="F303" s="18">
        <v>0.59570420000000002</v>
      </c>
      <c r="G303" s="16" t="s">
        <v>80</v>
      </c>
      <c r="H303" s="20">
        <f>InputData[[#This Row],[Transacted Units]]*InputData[[#This Row],[Transacted Price (per unit)]]</f>
        <v>595.70420000000001</v>
      </c>
      <c r="I303" s="14"/>
    </row>
    <row r="304" spans="1:9" ht="15.75" customHeight="1" x14ac:dyDescent="0.25">
      <c r="A304" s="16" t="s">
        <v>29</v>
      </c>
      <c r="B304" s="21">
        <v>44485</v>
      </c>
      <c r="C304" s="16" t="s">
        <v>5</v>
      </c>
      <c r="D304" s="17">
        <v>0.27700000000000002</v>
      </c>
      <c r="E304" s="18">
        <v>647.20000000000005</v>
      </c>
      <c r="F304" s="18">
        <v>0.1792744</v>
      </c>
      <c r="G304" s="16" t="s">
        <v>80</v>
      </c>
      <c r="H304" s="20">
        <f>InputData[[#This Row],[Transacted Units]]*InputData[[#This Row],[Transacted Price (per unit)]]</f>
        <v>179.27440000000001</v>
      </c>
      <c r="I304" s="14"/>
    </row>
    <row r="305" spans="1:9" ht="15.75" customHeight="1" x14ac:dyDescent="0.25">
      <c r="A305" s="16" t="s">
        <v>29</v>
      </c>
      <c r="B305" s="21">
        <v>44485</v>
      </c>
      <c r="C305" s="16" t="s">
        <v>5</v>
      </c>
      <c r="D305" s="17">
        <v>0.13700000000000001</v>
      </c>
      <c r="E305" s="18">
        <v>647.20000000000005</v>
      </c>
      <c r="F305" s="18">
        <v>8.8666400000000006E-2</v>
      </c>
      <c r="G305" s="16" t="s">
        <v>80</v>
      </c>
      <c r="H305" s="20">
        <f>InputData[[#This Row],[Transacted Units]]*InputData[[#This Row],[Transacted Price (per unit)]]</f>
        <v>88.66640000000001</v>
      </c>
      <c r="I305" s="14"/>
    </row>
    <row r="306" spans="1:9" ht="15.75" customHeight="1" x14ac:dyDescent="0.25">
      <c r="A306" s="16" t="s">
        <v>29</v>
      </c>
      <c r="B306" s="21">
        <v>44485</v>
      </c>
      <c r="C306" s="16" t="s">
        <v>5</v>
      </c>
      <c r="D306" s="17">
        <v>0.125</v>
      </c>
      <c r="E306" s="18">
        <v>643.5</v>
      </c>
      <c r="F306" s="18">
        <v>8.0437499999999995E-2</v>
      </c>
      <c r="G306" s="16" t="s">
        <v>80</v>
      </c>
      <c r="H306" s="20">
        <f>InputData[[#This Row],[Transacted Units]]*InputData[[#This Row],[Transacted Price (per unit)]]</f>
        <v>80.4375</v>
      </c>
      <c r="I306" s="14"/>
    </row>
    <row r="307" spans="1:9" ht="15.75" customHeight="1" x14ac:dyDescent="0.25">
      <c r="A307" s="16" t="s">
        <v>29</v>
      </c>
      <c r="B307" s="21">
        <v>44484</v>
      </c>
      <c r="C307" s="16" t="s">
        <v>5</v>
      </c>
      <c r="D307" s="17">
        <v>0.156</v>
      </c>
      <c r="E307" s="18">
        <v>637</v>
      </c>
      <c r="F307" s="18">
        <v>9.9372000000000002E-2</v>
      </c>
      <c r="G307" s="16" t="s">
        <v>80</v>
      </c>
      <c r="H307" s="20">
        <f>InputData[[#This Row],[Transacted Units]]*InputData[[#This Row],[Transacted Price (per unit)]]</f>
        <v>99.372</v>
      </c>
      <c r="I307" s="14"/>
    </row>
    <row r="308" spans="1:9" ht="15.75" customHeight="1" x14ac:dyDescent="0.25">
      <c r="A308" s="16" t="s">
        <v>29</v>
      </c>
      <c r="B308" s="21">
        <v>44484</v>
      </c>
      <c r="C308" s="16" t="s">
        <v>5</v>
      </c>
      <c r="D308" s="17">
        <v>0.92900000000000005</v>
      </c>
      <c r="E308" s="18">
        <v>637</v>
      </c>
      <c r="F308" s="18">
        <v>0.59177299999999999</v>
      </c>
      <c r="G308" s="16" t="s">
        <v>80</v>
      </c>
      <c r="H308" s="20">
        <f>InputData[[#This Row],[Transacted Units]]*InputData[[#This Row],[Transacted Price (per unit)]]</f>
        <v>591.77300000000002</v>
      </c>
      <c r="I308" s="14"/>
    </row>
    <row r="309" spans="1:9" ht="15.75" customHeight="1" x14ac:dyDescent="0.25">
      <c r="A309" s="16" t="s">
        <v>29</v>
      </c>
      <c r="B309" s="21">
        <v>44483</v>
      </c>
      <c r="C309" s="16" t="s">
        <v>5</v>
      </c>
      <c r="D309" s="17">
        <v>0.124</v>
      </c>
      <c r="E309" s="18">
        <v>649.29999999999995</v>
      </c>
      <c r="F309" s="18">
        <v>8.0513199999999993E-2</v>
      </c>
      <c r="G309" s="16" t="s">
        <v>80</v>
      </c>
      <c r="H309" s="20">
        <f>InputData[[#This Row],[Transacted Units]]*InputData[[#This Row],[Transacted Price (per unit)]]</f>
        <v>80.513199999999998</v>
      </c>
      <c r="I309" s="14"/>
    </row>
    <row r="310" spans="1:9" ht="15.75" customHeight="1" x14ac:dyDescent="0.25">
      <c r="A310" s="16" t="s">
        <v>29</v>
      </c>
      <c r="B310" s="21">
        <v>44483</v>
      </c>
      <c r="C310" s="16" t="s">
        <v>5</v>
      </c>
      <c r="D310" s="17">
        <v>0.42</v>
      </c>
      <c r="E310" s="18">
        <v>637.79999999999995</v>
      </c>
      <c r="F310" s="18">
        <v>0.267876</v>
      </c>
      <c r="G310" s="16" t="s">
        <v>80</v>
      </c>
      <c r="H310" s="20">
        <f>InputData[[#This Row],[Transacted Units]]*InputData[[#This Row],[Transacted Price (per unit)]]</f>
        <v>267.87599999999998</v>
      </c>
      <c r="I310" s="14"/>
    </row>
    <row r="311" spans="1:9" ht="15.75" customHeight="1" x14ac:dyDescent="0.25">
      <c r="A311" s="16" t="s">
        <v>29</v>
      </c>
      <c r="B311" s="21">
        <v>44482</v>
      </c>
      <c r="C311" s="16" t="s">
        <v>5</v>
      </c>
      <c r="D311" s="17">
        <v>0.69599999999999995</v>
      </c>
      <c r="E311" s="18">
        <v>629.79999999999995</v>
      </c>
      <c r="F311" s="18">
        <v>0.43834079999999997</v>
      </c>
      <c r="G311" s="16" t="s">
        <v>80</v>
      </c>
      <c r="H311" s="20">
        <f>InputData[[#This Row],[Transacted Units]]*InputData[[#This Row],[Transacted Price (per unit)]]</f>
        <v>438.34079999999994</v>
      </c>
      <c r="I311" s="14"/>
    </row>
    <row r="312" spans="1:9" ht="15.75" customHeight="1" x14ac:dyDescent="0.25">
      <c r="A312" s="16" t="s">
        <v>29</v>
      </c>
      <c r="B312" s="21">
        <v>44482</v>
      </c>
      <c r="C312" s="16" t="s">
        <v>5</v>
      </c>
      <c r="D312" s="17">
        <v>0.317</v>
      </c>
      <c r="E312" s="18">
        <v>630.70000000000005</v>
      </c>
      <c r="F312" s="18">
        <v>0.1999319</v>
      </c>
      <c r="G312" s="16" t="s">
        <v>80</v>
      </c>
      <c r="H312" s="20">
        <f>InputData[[#This Row],[Transacted Units]]*InputData[[#This Row],[Transacted Price (per unit)]]</f>
        <v>199.93190000000001</v>
      </c>
      <c r="I312" s="14"/>
    </row>
    <row r="313" spans="1:9" ht="15.75" customHeight="1" x14ac:dyDescent="0.25">
      <c r="A313" s="16" t="s">
        <v>29</v>
      </c>
      <c r="B313" s="21">
        <v>44482</v>
      </c>
      <c r="C313" s="16" t="s">
        <v>5</v>
      </c>
      <c r="D313" s="17">
        <v>8.1000000000000003E-2</v>
      </c>
      <c r="E313" s="18">
        <v>630.6</v>
      </c>
      <c r="F313" s="18">
        <v>5.1078600000000002E-2</v>
      </c>
      <c r="G313" s="16" t="s">
        <v>80</v>
      </c>
      <c r="H313" s="20">
        <f>InputData[[#This Row],[Transacted Units]]*InputData[[#This Row],[Transacted Price (per unit)]]</f>
        <v>51.078600000000002</v>
      </c>
      <c r="I313" s="14"/>
    </row>
    <row r="314" spans="1:9" ht="15.75" customHeight="1" x14ac:dyDescent="0.25">
      <c r="A314" s="16" t="s">
        <v>29</v>
      </c>
      <c r="B314" s="21">
        <v>44482</v>
      </c>
      <c r="C314" s="16" t="s">
        <v>5</v>
      </c>
      <c r="D314" s="17">
        <v>0.151</v>
      </c>
      <c r="E314" s="18">
        <v>630.6</v>
      </c>
      <c r="F314" s="18">
        <v>9.5220600000000002E-2</v>
      </c>
      <c r="G314" s="16" t="s">
        <v>80</v>
      </c>
      <c r="H314" s="20">
        <f>InputData[[#This Row],[Transacted Units]]*InputData[[#This Row],[Transacted Price (per unit)]]</f>
        <v>95.220600000000005</v>
      </c>
      <c r="I314" s="14"/>
    </row>
    <row r="315" spans="1:9" ht="15.75" customHeight="1" x14ac:dyDescent="0.25">
      <c r="A315" s="16" t="s">
        <v>29</v>
      </c>
      <c r="B315" s="21">
        <v>44482</v>
      </c>
      <c r="C315" s="16" t="s">
        <v>5</v>
      </c>
      <c r="D315" s="17">
        <v>3.1E-2</v>
      </c>
      <c r="E315" s="18">
        <v>632.79999999999995</v>
      </c>
      <c r="F315" s="18">
        <v>1.96168E-2</v>
      </c>
      <c r="G315" s="16" t="s">
        <v>80</v>
      </c>
      <c r="H315" s="20">
        <f>InputData[[#This Row],[Transacted Units]]*InputData[[#This Row],[Transacted Price (per unit)]]</f>
        <v>19.616799999999998</v>
      </c>
      <c r="I315" s="14"/>
    </row>
    <row r="316" spans="1:9" ht="15.75" customHeight="1" x14ac:dyDescent="0.25">
      <c r="A316" s="16" t="s">
        <v>29</v>
      </c>
      <c r="B316" s="21">
        <v>44482</v>
      </c>
      <c r="C316" s="16" t="s">
        <v>5</v>
      </c>
      <c r="D316" s="17">
        <v>3.2000000000000001E-2</v>
      </c>
      <c r="E316" s="18">
        <v>625.20000000000005</v>
      </c>
      <c r="F316" s="18">
        <v>2.0006400000000001E-2</v>
      </c>
      <c r="G316" s="16" t="s">
        <v>80</v>
      </c>
      <c r="H316" s="20">
        <f>InputData[[#This Row],[Transacted Units]]*InputData[[#This Row],[Transacted Price (per unit)]]</f>
        <v>20.006400000000003</v>
      </c>
      <c r="I316" s="14"/>
    </row>
    <row r="317" spans="1:9" ht="15.75" customHeight="1" x14ac:dyDescent="0.25">
      <c r="A317" s="16" t="s">
        <v>29</v>
      </c>
      <c r="B317" s="21">
        <v>44482</v>
      </c>
      <c r="C317" s="16" t="s">
        <v>5</v>
      </c>
      <c r="D317" s="17">
        <v>0.26900000000000002</v>
      </c>
      <c r="E317" s="18">
        <v>615.70000000000005</v>
      </c>
      <c r="F317" s="18">
        <v>0.1656233</v>
      </c>
      <c r="G317" s="16" t="s">
        <v>80</v>
      </c>
      <c r="H317" s="20">
        <f>InputData[[#This Row],[Transacted Units]]*InputData[[#This Row],[Transacted Price (per unit)]]</f>
        <v>165.62330000000003</v>
      </c>
      <c r="I317" s="14"/>
    </row>
    <row r="318" spans="1:9" ht="15.75" customHeight="1" x14ac:dyDescent="0.25">
      <c r="A318" s="16" t="s">
        <v>29</v>
      </c>
      <c r="B318" s="21">
        <v>44482</v>
      </c>
      <c r="C318" s="16" t="s">
        <v>5</v>
      </c>
      <c r="D318" s="17">
        <v>3.1E-2</v>
      </c>
      <c r="E318" s="18">
        <v>635.4</v>
      </c>
      <c r="F318" s="18">
        <v>1.96974E-2</v>
      </c>
      <c r="G318" s="16" t="s">
        <v>80</v>
      </c>
      <c r="H318" s="20">
        <f>InputData[[#This Row],[Transacted Units]]*InputData[[#This Row],[Transacted Price (per unit)]]</f>
        <v>19.697399999999998</v>
      </c>
      <c r="I318" s="14"/>
    </row>
    <row r="319" spans="1:9" ht="15.75" customHeight="1" x14ac:dyDescent="0.25">
      <c r="A319" s="16" t="s">
        <v>29</v>
      </c>
      <c r="B319" s="21">
        <v>44482</v>
      </c>
      <c r="C319" s="16" t="s">
        <v>5</v>
      </c>
      <c r="D319" s="17">
        <v>3.2000000000000001E-2</v>
      </c>
      <c r="E319" s="18">
        <v>627.9</v>
      </c>
      <c r="F319" s="18">
        <v>2.0092800000000001E-2</v>
      </c>
      <c r="G319" s="16" t="s">
        <v>80</v>
      </c>
      <c r="H319" s="20">
        <f>InputData[[#This Row],[Transacted Units]]*InputData[[#This Row],[Transacted Price (per unit)]]</f>
        <v>20.0928</v>
      </c>
      <c r="I319" s="14"/>
    </row>
    <row r="320" spans="1:9" ht="15.75" customHeight="1" x14ac:dyDescent="0.25">
      <c r="A320" s="16" t="s">
        <v>29</v>
      </c>
      <c r="B320" s="21">
        <v>44482</v>
      </c>
      <c r="C320" s="16" t="s">
        <v>5</v>
      </c>
      <c r="D320" s="17">
        <v>3.2000000000000001E-2</v>
      </c>
      <c r="E320" s="18">
        <v>620.1</v>
      </c>
      <c r="F320" s="18">
        <v>1.9843199999999998E-2</v>
      </c>
      <c r="G320" s="16" t="s">
        <v>80</v>
      </c>
      <c r="H320" s="20">
        <f>InputData[[#This Row],[Transacted Units]]*InputData[[#This Row],[Transacted Price (per unit)]]</f>
        <v>19.8432</v>
      </c>
      <c r="I320" s="14"/>
    </row>
    <row r="321" spans="1:9" ht="15.75" customHeight="1" x14ac:dyDescent="0.25">
      <c r="A321" s="16" t="s">
        <v>29</v>
      </c>
      <c r="B321" s="21">
        <v>44482</v>
      </c>
      <c r="C321" s="16" t="s">
        <v>5</v>
      </c>
      <c r="D321" s="17">
        <v>3.3000000000000002E-2</v>
      </c>
      <c r="E321" s="18">
        <v>610.29999999999995</v>
      </c>
      <c r="F321" s="18">
        <v>2.0139899999999999E-2</v>
      </c>
      <c r="G321" s="16" t="s">
        <v>80</v>
      </c>
      <c r="H321" s="20">
        <f>InputData[[#This Row],[Transacted Units]]*InputData[[#This Row],[Transacted Price (per unit)]]</f>
        <v>20.139900000000001</v>
      </c>
      <c r="I321" s="14"/>
    </row>
    <row r="322" spans="1:9" ht="15.75" customHeight="1" x14ac:dyDescent="0.25">
      <c r="A322" s="16" t="s">
        <v>29</v>
      </c>
      <c r="B322" s="21">
        <v>44481</v>
      </c>
      <c r="C322" s="16" t="s">
        <v>5</v>
      </c>
      <c r="D322" s="17">
        <v>3.3000000000000002E-2</v>
      </c>
      <c r="E322" s="18">
        <v>600.5</v>
      </c>
      <c r="F322" s="18">
        <v>1.9816500000000001E-2</v>
      </c>
      <c r="G322" s="16" t="s">
        <v>80</v>
      </c>
      <c r="H322" s="20">
        <f>InputData[[#This Row],[Transacted Units]]*InputData[[#This Row],[Transacted Price (per unit)]]</f>
        <v>19.816500000000001</v>
      </c>
      <c r="I322" s="14"/>
    </row>
    <row r="323" spans="1:9" ht="15.75" customHeight="1" x14ac:dyDescent="0.25">
      <c r="A323" s="16" t="s">
        <v>29</v>
      </c>
      <c r="B323" s="21">
        <v>44481</v>
      </c>
      <c r="C323" s="16" t="s">
        <v>5</v>
      </c>
      <c r="D323" s="17">
        <v>3.4000000000000002E-2</v>
      </c>
      <c r="E323" s="18">
        <v>593.5</v>
      </c>
      <c r="F323" s="18">
        <v>2.0178999999999999E-2</v>
      </c>
      <c r="G323" s="16" t="s">
        <v>80</v>
      </c>
      <c r="H323" s="20">
        <f>InputData[[#This Row],[Transacted Units]]*InputData[[#This Row],[Transacted Price (per unit)]]</f>
        <v>20.179000000000002</v>
      </c>
      <c r="I323" s="14"/>
    </row>
    <row r="324" spans="1:9" ht="15.75" customHeight="1" x14ac:dyDescent="0.25">
      <c r="A324" s="16" t="s">
        <v>29</v>
      </c>
      <c r="B324" s="21">
        <v>44481</v>
      </c>
      <c r="C324" s="16" t="s">
        <v>5</v>
      </c>
      <c r="D324" s="17">
        <v>3.4000000000000002E-2</v>
      </c>
      <c r="E324" s="18">
        <v>585.4</v>
      </c>
      <c r="F324" s="18">
        <v>1.99036E-2</v>
      </c>
      <c r="G324" s="16" t="s">
        <v>80</v>
      </c>
      <c r="H324" s="20">
        <f>InputData[[#This Row],[Transacted Units]]*InputData[[#This Row],[Transacted Price (per unit)]]</f>
        <v>19.903600000000001</v>
      </c>
      <c r="I324" s="14"/>
    </row>
    <row r="325" spans="1:9" ht="15.75" customHeight="1" x14ac:dyDescent="0.25">
      <c r="A325" s="16" t="s">
        <v>29</v>
      </c>
      <c r="B325" s="21">
        <v>44481</v>
      </c>
      <c r="C325" s="16" t="s">
        <v>5</v>
      </c>
      <c r="D325" s="17">
        <v>3.4000000000000002E-2</v>
      </c>
      <c r="E325" s="18">
        <v>578.9</v>
      </c>
      <c r="F325" s="18">
        <v>1.9682600000000001E-2</v>
      </c>
      <c r="G325" s="16" t="s">
        <v>80</v>
      </c>
      <c r="H325" s="20">
        <f>InputData[[#This Row],[Transacted Units]]*InputData[[#This Row],[Transacted Price (per unit)]]</f>
        <v>19.682600000000001</v>
      </c>
      <c r="I325" s="14"/>
    </row>
    <row r="326" spans="1:9" ht="15.75" customHeight="1" x14ac:dyDescent="0.25">
      <c r="A326" s="16" t="s">
        <v>29</v>
      </c>
      <c r="B326" s="21">
        <v>44481</v>
      </c>
      <c r="C326" s="16" t="s">
        <v>5</v>
      </c>
      <c r="D326" s="17">
        <v>0.51</v>
      </c>
      <c r="E326" s="18">
        <v>571</v>
      </c>
      <c r="F326" s="18">
        <v>0.29121000000000002</v>
      </c>
      <c r="G326" s="16" t="s">
        <v>80</v>
      </c>
      <c r="H326" s="20">
        <f>InputData[[#This Row],[Transacted Units]]*InputData[[#This Row],[Transacted Price (per unit)]]</f>
        <v>291.20999999999998</v>
      </c>
      <c r="I326" s="14"/>
    </row>
    <row r="327" spans="1:9" ht="15.75" customHeight="1" x14ac:dyDescent="0.25">
      <c r="A327" s="16" t="s">
        <v>29</v>
      </c>
      <c r="B327" s="21">
        <v>44481</v>
      </c>
      <c r="C327" s="16" t="s">
        <v>5</v>
      </c>
      <c r="D327" s="17">
        <v>9.6000000000000002E-2</v>
      </c>
      <c r="E327" s="18">
        <v>571.1</v>
      </c>
      <c r="F327" s="18">
        <v>5.4825600000000002E-2</v>
      </c>
      <c r="G327" s="16" t="s">
        <v>80</v>
      </c>
      <c r="H327" s="20">
        <f>InputData[[#This Row],[Transacted Units]]*InputData[[#This Row],[Transacted Price (per unit)]]</f>
        <v>54.825600000000001</v>
      </c>
      <c r="I327" s="14"/>
    </row>
    <row r="328" spans="1:9" ht="15.75" customHeight="1" x14ac:dyDescent="0.25">
      <c r="A328" s="16" t="s">
        <v>29</v>
      </c>
      <c r="B328" s="21">
        <v>44480</v>
      </c>
      <c r="C328" s="16" t="s">
        <v>5</v>
      </c>
      <c r="D328" s="17">
        <v>6.9000000000000006E-2</v>
      </c>
      <c r="E328" s="18">
        <v>572</v>
      </c>
      <c r="F328" s="18">
        <v>3.9468000000000003E-2</v>
      </c>
      <c r="G328" s="16" t="s">
        <v>80</v>
      </c>
      <c r="H328" s="20">
        <f>InputData[[#This Row],[Transacted Units]]*InputData[[#This Row],[Transacted Price (per unit)]]</f>
        <v>39.468000000000004</v>
      </c>
      <c r="I328" s="14"/>
    </row>
    <row r="329" spans="1:9" ht="15.75" customHeight="1" x14ac:dyDescent="0.25">
      <c r="A329" s="16" t="s">
        <v>29</v>
      </c>
      <c r="B329" s="21">
        <v>44581</v>
      </c>
      <c r="C329" s="16" t="s">
        <v>4</v>
      </c>
      <c r="D329" s="17">
        <v>0.14899999999999999</v>
      </c>
      <c r="E329" s="18">
        <v>648.90819999999997</v>
      </c>
      <c r="F329" s="18">
        <v>1.5764237249999999E-4</v>
      </c>
      <c r="G329" s="16" t="s">
        <v>80</v>
      </c>
      <c r="H329" s="20">
        <f>InputData[[#This Row],[Transacted Units]]*InputData[[#This Row],[Transacted Price (per unit)]]</f>
        <v>96.687321799999992</v>
      </c>
      <c r="I329" s="14"/>
    </row>
    <row r="330" spans="1:9" ht="15.75" customHeight="1" x14ac:dyDescent="0.25">
      <c r="A330" s="16" t="s">
        <v>29</v>
      </c>
      <c r="B330" s="21">
        <v>44544</v>
      </c>
      <c r="C330" s="16" t="s">
        <v>4</v>
      </c>
      <c r="D330" s="17">
        <v>0.123</v>
      </c>
      <c r="E330" s="18">
        <v>740.88388399999997</v>
      </c>
      <c r="F330" s="18">
        <v>1.301343075E-4</v>
      </c>
      <c r="G330" s="16" t="s">
        <v>80</v>
      </c>
      <c r="H330" s="20">
        <f>InputData[[#This Row],[Transacted Units]]*InputData[[#This Row],[Transacted Price (per unit)]]</f>
        <v>91.128717731999998</v>
      </c>
      <c r="I330" s="14"/>
    </row>
    <row r="331" spans="1:9" ht="15.75" customHeight="1" x14ac:dyDescent="0.25">
      <c r="A331" s="16" t="s">
        <v>29</v>
      </c>
      <c r="B331" s="21">
        <v>44516</v>
      </c>
      <c r="C331" s="16" t="s">
        <v>4</v>
      </c>
      <c r="D331" s="17">
        <v>3.9E-2</v>
      </c>
      <c r="E331" s="18">
        <v>824.53661499999998</v>
      </c>
      <c r="F331" s="18">
        <v>5.5016129999999999E-5</v>
      </c>
      <c r="G331" s="16" t="s">
        <v>80</v>
      </c>
      <c r="H331" s="20">
        <f>InputData[[#This Row],[Transacted Units]]*InputData[[#This Row],[Transacted Price (per unit)]]</f>
        <v>32.156927984999996</v>
      </c>
      <c r="I331" s="14"/>
    </row>
    <row r="332" spans="1:9" ht="15.75" customHeight="1" x14ac:dyDescent="0.25">
      <c r="A332" s="16" t="s">
        <v>29</v>
      </c>
      <c r="B332" s="21">
        <v>44419</v>
      </c>
      <c r="C332" s="16" t="s">
        <v>4</v>
      </c>
      <c r="D332" s="17">
        <v>0.26819999999999999</v>
      </c>
      <c r="E332" s="18">
        <v>526.94167179999999</v>
      </c>
      <c r="F332" s="18">
        <v>3.7834169400000002E-4</v>
      </c>
      <c r="G332" s="16" t="s">
        <v>80</v>
      </c>
      <c r="H332" s="20">
        <f>InputData[[#This Row],[Transacted Units]]*InputData[[#This Row],[Transacted Price (per unit)]]</f>
        <v>141.32575637675998</v>
      </c>
      <c r="I332" s="14"/>
    </row>
    <row r="333" spans="1:9" ht="15.75" customHeight="1" x14ac:dyDescent="0.25">
      <c r="A333" s="16" t="s">
        <v>29</v>
      </c>
      <c r="B333" s="21">
        <v>44419</v>
      </c>
      <c r="C333" s="16" t="s">
        <v>4</v>
      </c>
      <c r="D333" s="17">
        <v>0.4007</v>
      </c>
      <c r="E333" s="18">
        <v>526.92756510000004</v>
      </c>
      <c r="F333" s="18">
        <v>5.6525546900000005E-4</v>
      </c>
      <c r="G333" s="16" t="s">
        <v>80</v>
      </c>
      <c r="H333" s="20">
        <f>InputData[[#This Row],[Transacted Units]]*InputData[[#This Row],[Transacted Price (per unit)]]</f>
        <v>211.13987533557003</v>
      </c>
      <c r="I333" s="14"/>
    </row>
    <row r="334" spans="1:9" ht="15.75" customHeight="1" x14ac:dyDescent="0.25">
      <c r="A334" s="16" t="s">
        <v>29</v>
      </c>
      <c r="B334" s="21">
        <v>44420</v>
      </c>
      <c r="C334" s="16" t="s">
        <v>5</v>
      </c>
      <c r="D334" s="17">
        <v>0.6714</v>
      </c>
      <c r="E334" s="18">
        <v>533.23325999999997</v>
      </c>
      <c r="F334" s="18">
        <v>0.35801281080000003</v>
      </c>
      <c r="G334" s="16" t="s">
        <v>80</v>
      </c>
      <c r="H334" s="20">
        <f>InputData[[#This Row],[Transacted Units]]*InputData[[#This Row],[Transacted Price (per unit)]]</f>
        <v>358.01281076399999</v>
      </c>
      <c r="I334" s="14"/>
    </row>
    <row r="335" spans="1:9" ht="15.75" customHeight="1" x14ac:dyDescent="0.25">
      <c r="A335" s="16" t="s">
        <v>29</v>
      </c>
      <c r="B335" s="21">
        <v>44596</v>
      </c>
      <c r="C335" s="16" t="s">
        <v>4</v>
      </c>
      <c r="D335" s="17">
        <v>4.4734969999999999E-2</v>
      </c>
      <c r="E335" s="18">
        <v>547.44640000000004</v>
      </c>
      <c r="F335" s="18">
        <v>0.51</v>
      </c>
      <c r="G335" s="16" t="s">
        <v>80</v>
      </c>
      <c r="H335" s="20">
        <f>InputData[[#This Row],[Transacted Units]]*InputData[[#This Row],[Transacted Price (per unit)]]</f>
        <v>24.489998280608003</v>
      </c>
      <c r="I335" s="14"/>
    </row>
    <row r="336" spans="1:9" ht="15.75" customHeight="1" x14ac:dyDescent="0.25">
      <c r="A336" s="16" t="s">
        <v>29</v>
      </c>
      <c r="B336" s="21">
        <v>44596</v>
      </c>
      <c r="C336" s="16" t="s">
        <v>4</v>
      </c>
      <c r="D336" s="17">
        <v>4.3684220000000003E-2</v>
      </c>
      <c r="E336" s="18">
        <v>560.61429999999996</v>
      </c>
      <c r="F336" s="18">
        <v>0.51</v>
      </c>
      <c r="G336" s="16" t="s">
        <v>80</v>
      </c>
      <c r="H336" s="20">
        <f>InputData[[#This Row],[Transacted Units]]*InputData[[#This Row],[Transacted Price (per unit)]]</f>
        <v>24.489998416346001</v>
      </c>
      <c r="I336" s="14"/>
    </row>
    <row r="337" spans="1:9" ht="15.75" customHeight="1" x14ac:dyDescent="0.25">
      <c r="A337" s="16" t="s">
        <v>29</v>
      </c>
      <c r="B337" s="21">
        <v>44596</v>
      </c>
      <c r="C337" s="16" t="s">
        <v>4</v>
      </c>
      <c r="D337" s="17">
        <v>4.019988E-2</v>
      </c>
      <c r="E337" s="18">
        <v>609.20579999999995</v>
      </c>
      <c r="F337" s="18">
        <v>0.51</v>
      </c>
      <c r="G337" s="16" t="s">
        <v>80</v>
      </c>
      <c r="H337" s="20">
        <f>InputData[[#This Row],[Transacted Units]]*InputData[[#This Row],[Transacted Price (per unit)]]</f>
        <v>24.490000055303998</v>
      </c>
      <c r="I337" s="14"/>
    </row>
    <row r="338" spans="1:9" ht="15.75" customHeight="1" x14ac:dyDescent="0.25">
      <c r="A338" s="16" t="s">
        <v>29</v>
      </c>
      <c r="B338" s="21">
        <v>44596</v>
      </c>
      <c r="C338" s="16" t="s">
        <v>4</v>
      </c>
      <c r="D338" s="17">
        <v>3.6704109999999998E-2</v>
      </c>
      <c r="E338" s="18">
        <v>667.22770000000003</v>
      </c>
      <c r="F338" s="18">
        <v>0.51</v>
      </c>
      <c r="G338" s="16" t="s">
        <v>80</v>
      </c>
      <c r="H338" s="20">
        <f>InputData[[#This Row],[Transacted Units]]*InputData[[#This Row],[Transacted Price (per unit)]]</f>
        <v>24.489998895846998</v>
      </c>
      <c r="I338" s="14"/>
    </row>
    <row r="339" spans="1:9" ht="15.75" customHeight="1" x14ac:dyDescent="0.25">
      <c r="A339" s="16" t="s">
        <v>29</v>
      </c>
      <c r="B339" s="21">
        <v>44596</v>
      </c>
      <c r="C339" s="16" t="s">
        <v>4</v>
      </c>
      <c r="D339" s="17">
        <v>3.7535550000000001E-2</v>
      </c>
      <c r="E339" s="18">
        <v>652.44809999999995</v>
      </c>
      <c r="F339" s="18">
        <v>0.51</v>
      </c>
      <c r="G339" s="16" t="s">
        <v>80</v>
      </c>
      <c r="H339" s="20">
        <f>InputData[[#This Row],[Transacted Units]]*InputData[[#This Row],[Transacted Price (per unit)]]</f>
        <v>24.489998279955</v>
      </c>
      <c r="I339" s="14"/>
    </row>
    <row r="340" spans="1:9" ht="15.75" customHeight="1" x14ac:dyDescent="0.25">
      <c r="A340" s="16" t="s">
        <v>29</v>
      </c>
      <c r="B340" s="21">
        <v>44596</v>
      </c>
      <c r="C340" s="16" t="s">
        <v>4</v>
      </c>
      <c r="D340" s="17">
        <v>3.3135770000000002E-2</v>
      </c>
      <c r="E340" s="18">
        <v>739.08040000000005</v>
      </c>
      <c r="F340" s="18">
        <v>0.51</v>
      </c>
      <c r="G340" s="16" t="s">
        <v>80</v>
      </c>
      <c r="H340" s="20">
        <f>InputData[[#This Row],[Transacted Units]]*InputData[[#This Row],[Transacted Price (per unit)]]</f>
        <v>24.489998145908004</v>
      </c>
      <c r="I340" s="14"/>
    </row>
    <row r="341" spans="1:9" ht="15.75" customHeight="1" x14ac:dyDescent="0.25">
      <c r="A341" s="16" t="s">
        <v>29</v>
      </c>
      <c r="B341" s="21">
        <v>44596</v>
      </c>
      <c r="C341" s="16" t="s">
        <v>4</v>
      </c>
      <c r="D341" s="17">
        <v>3.2232440000000001E-2</v>
      </c>
      <c r="E341" s="18">
        <v>775.61609999999996</v>
      </c>
      <c r="F341" s="18">
        <v>0.51</v>
      </c>
      <c r="G341" s="16" t="s">
        <v>80</v>
      </c>
      <c r="H341" s="20">
        <f>InputData[[#This Row],[Transacted Units]]*InputData[[#This Row],[Transacted Price (per unit)]]</f>
        <v>24.999999406284001</v>
      </c>
      <c r="I341" s="14"/>
    </row>
    <row r="342" spans="1:9" ht="15.75" customHeight="1" x14ac:dyDescent="0.25">
      <c r="A342" s="16" t="s">
        <v>29</v>
      </c>
      <c r="B342" s="21">
        <v>44596</v>
      </c>
      <c r="C342" s="16" t="s">
        <v>4</v>
      </c>
      <c r="D342" s="17">
        <v>3.2377789999999997E-2</v>
      </c>
      <c r="E342" s="18">
        <v>756.38260000000002</v>
      </c>
      <c r="F342" s="18">
        <v>0.51</v>
      </c>
      <c r="G342" s="16" t="s">
        <v>80</v>
      </c>
      <c r="H342" s="20">
        <f>InputData[[#This Row],[Transacted Units]]*InputData[[#This Row],[Transacted Price (per unit)]]</f>
        <v>24.489996982453999</v>
      </c>
      <c r="I342" s="14"/>
    </row>
    <row r="343" spans="1:9" ht="15.75" customHeight="1" x14ac:dyDescent="0.25">
      <c r="A343" s="16" t="s">
        <v>29</v>
      </c>
      <c r="B343" s="21">
        <v>44596</v>
      </c>
      <c r="C343" s="16" t="s">
        <v>4</v>
      </c>
      <c r="D343" s="17">
        <v>3.1617960000000001E-2</v>
      </c>
      <c r="E343" s="18">
        <v>774.55970000000002</v>
      </c>
      <c r="F343" s="18">
        <v>0.51</v>
      </c>
      <c r="G343" s="16" t="s">
        <v>80</v>
      </c>
      <c r="H343" s="20">
        <f>InputData[[#This Row],[Transacted Units]]*InputData[[#This Row],[Transacted Price (per unit)]]</f>
        <v>24.489997612212001</v>
      </c>
      <c r="I343" s="14"/>
    </row>
    <row r="344" spans="1:9" ht="15.75" customHeight="1" x14ac:dyDescent="0.25">
      <c r="A344" s="16" t="s">
        <v>29</v>
      </c>
      <c r="B344" s="21">
        <v>44596</v>
      </c>
      <c r="C344" s="16" t="s">
        <v>4</v>
      </c>
      <c r="D344" s="17">
        <v>7.9574270000000003E-2</v>
      </c>
      <c r="E344" s="18">
        <v>615.77689999999996</v>
      </c>
      <c r="F344" s="18">
        <v>1</v>
      </c>
      <c r="G344" s="16" t="s">
        <v>80</v>
      </c>
      <c r="H344" s="20">
        <f>InputData[[#This Row],[Transacted Units]]*InputData[[#This Row],[Transacted Price (per unit)]]</f>
        <v>48.999997300362999</v>
      </c>
      <c r="I344" s="14"/>
    </row>
    <row r="345" spans="1:9" ht="15.75" customHeight="1" x14ac:dyDescent="0.25">
      <c r="A345" s="16" t="s">
        <v>29</v>
      </c>
      <c r="B345" s="21">
        <v>44596</v>
      </c>
      <c r="C345" s="16" t="s">
        <v>4</v>
      </c>
      <c r="D345" s="17">
        <v>8.8390670000000005E-2</v>
      </c>
      <c r="E345" s="18">
        <v>554.35720000000003</v>
      </c>
      <c r="F345" s="18">
        <v>1</v>
      </c>
      <c r="G345" s="16" t="s">
        <v>80</v>
      </c>
      <c r="H345" s="20">
        <f>InputData[[#This Row],[Transacted Units]]*InputData[[#This Row],[Transacted Price (per unit)]]</f>
        <v>49.000004327324007</v>
      </c>
      <c r="I345" s="14"/>
    </row>
    <row r="346" spans="1:9" ht="15.75" customHeight="1" x14ac:dyDescent="0.25">
      <c r="A346" s="16" t="s">
        <v>29</v>
      </c>
      <c r="B346" s="21">
        <v>44596</v>
      </c>
      <c r="C346" s="16" t="s">
        <v>4</v>
      </c>
      <c r="D346" s="17">
        <v>0.91293299999999999</v>
      </c>
      <c r="E346" s="18">
        <v>536.73159999999996</v>
      </c>
      <c r="F346" s="18">
        <v>1</v>
      </c>
      <c r="G346" s="16" t="s">
        <v>80</v>
      </c>
      <c r="H346" s="20">
        <f>InputData[[#This Row],[Transacted Units]]*InputData[[#This Row],[Transacted Price (per unit)]]</f>
        <v>489.99998978279996</v>
      </c>
      <c r="I346" s="14"/>
    </row>
    <row r="347" spans="1:9" ht="15.75" customHeight="1" x14ac:dyDescent="0.25">
      <c r="A347" s="16" t="s">
        <v>29</v>
      </c>
      <c r="B347" s="21">
        <v>44596</v>
      </c>
      <c r="C347" s="16" t="s">
        <v>4</v>
      </c>
      <c r="D347" s="17">
        <v>7.3331599999999997E-2</v>
      </c>
      <c r="E347" s="18">
        <v>668.19759999999997</v>
      </c>
      <c r="F347" s="18">
        <v>1</v>
      </c>
      <c r="G347" s="16" t="s">
        <v>80</v>
      </c>
      <c r="H347" s="20">
        <f>InputData[[#This Row],[Transacted Units]]*InputData[[#This Row],[Transacted Price (per unit)]]</f>
        <v>48.999999124159999</v>
      </c>
      <c r="I347" s="14"/>
    </row>
    <row r="348" spans="1:9" ht="15.75" customHeight="1" x14ac:dyDescent="0.25">
      <c r="A348" s="16" t="s">
        <v>29</v>
      </c>
      <c r="B348" s="21">
        <v>44596</v>
      </c>
      <c r="C348" s="16" t="s">
        <v>4</v>
      </c>
      <c r="D348" s="17">
        <v>7.6295669999999996E-2</v>
      </c>
      <c r="E348" s="18">
        <v>642.23820000000001</v>
      </c>
      <c r="F348" s="18">
        <v>1</v>
      </c>
      <c r="G348" s="16" t="s">
        <v>80</v>
      </c>
      <c r="H348" s="20">
        <f>InputData[[#This Row],[Transacted Units]]*InputData[[#This Row],[Transacted Price (per unit)]]</f>
        <v>48.999993768593995</v>
      </c>
      <c r="I348" s="14"/>
    </row>
    <row r="349" spans="1:9" ht="15.75" customHeight="1" x14ac:dyDescent="0.25">
      <c r="A349" s="16" t="s">
        <v>29</v>
      </c>
      <c r="B349" s="21">
        <v>44596</v>
      </c>
      <c r="C349" s="16" t="s">
        <v>4</v>
      </c>
      <c r="D349" s="17">
        <v>6.665952E-2</v>
      </c>
      <c r="E349" s="18">
        <v>735.0788</v>
      </c>
      <c r="F349" s="18">
        <v>1</v>
      </c>
      <c r="G349" s="16" t="s">
        <v>80</v>
      </c>
      <c r="H349" s="20">
        <f>InputData[[#This Row],[Transacted Units]]*InputData[[#This Row],[Transacted Price (per unit)]]</f>
        <v>48.999999970175999</v>
      </c>
      <c r="I349" s="14"/>
    </row>
    <row r="350" spans="1:9" ht="15.75" customHeight="1" x14ac:dyDescent="0.25">
      <c r="A350" s="16" t="s">
        <v>29</v>
      </c>
      <c r="B350" s="21">
        <v>44596</v>
      </c>
      <c r="C350" s="16" t="s">
        <v>4</v>
      </c>
      <c r="D350" s="17">
        <v>6.2553769999999995E-2</v>
      </c>
      <c r="E350" s="18">
        <v>783.32600000000002</v>
      </c>
      <c r="F350" s="18">
        <v>1</v>
      </c>
      <c r="G350" s="16" t="s">
        <v>80</v>
      </c>
      <c r="H350" s="20">
        <f>InputData[[#This Row],[Transacted Units]]*InputData[[#This Row],[Transacted Price (per unit)]]</f>
        <v>48.99999443902</v>
      </c>
      <c r="I350" s="14"/>
    </row>
    <row r="351" spans="1:9" ht="15.75" customHeight="1" x14ac:dyDescent="0.25">
      <c r="A351" s="16" t="s">
        <v>29</v>
      </c>
      <c r="B351" s="21">
        <v>44596</v>
      </c>
      <c r="C351" s="16" t="s">
        <v>4</v>
      </c>
      <c r="D351" s="17">
        <v>6.4045400000000002E-2</v>
      </c>
      <c r="E351" s="18">
        <v>765.08230000000003</v>
      </c>
      <c r="F351" s="18">
        <v>1</v>
      </c>
      <c r="G351" s="16" t="s">
        <v>80</v>
      </c>
      <c r="H351" s="20">
        <f>InputData[[#This Row],[Transacted Units]]*InputData[[#This Row],[Transacted Price (per unit)]]</f>
        <v>49.000001936420006</v>
      </c>
      <c r="I351" s="14"/>
    </row>
    <row r="352" spans="1:9" ht="15.75" customHeight="1" x14ac:dyDescent="0.25">
      <c r="A352" s="16" t="s">
        <v>29</v>
      </c>
      <c r="B352" s="21">
        <v>44596</v>
      </c>
      <c r="C352" s="16" t="s">
        <v>4</v>
      </c>
      <c r="D352" s="17">
        <v>6.3721239999999998E-2</v>
      </c>
      <c r="E352" s="18">
        <v>768.97439999999995</v>
      </c>
      <c r="F352" s="18">
        <v>1</v>
      </c>
      <c r="G352" s="16" t="s">
        <v>80</v>
      </c>
      <c r="H352" s="20">
        <f>InputData[[#This Row],[Transacted Units]]*InputData[[#This Row],[Transacted Price (per unit)]]</f>
        <v>49.000002296255992</v>
      </c>
      <c r="I352" s="14"/>
    </row>
    <row r="353" spans="1:9" ht="15.75" customHeight="1" x14ac:dyDescent="0.25">
      <c r="A353" s="16" t="s">
        <v>29</v>
      </c>
      <c r="B353" s="21">
        <v>44978</v>
      </c>
      <c r="C353" s="16" t="s">
        <v>3</v>
      </c>
      <c r="D353" s="17">
        <v>1.48</v>
      </c>
      <c r="E353" s="18">
        <v>850</v>
      </c>
      <c r="F353" s="18">
        <v>4</v>
      </c>
      <c r="G353" s="16" t="s">
        <v>80</v>
      </c>
      <c r="H353" s="20">
        <f>InputData[[#This Row],[Transacted Units]]*InputData[[#This Row],[Transacted Price (per unit)]]</f>
        <v>1258</v>
      </c>
      <c r="I353" s="14"/>
    </row>
    <row r="354" spans="1:9" ht="15.75" customHeight="1" x14ac:dyDescent="0.25">
      <c r="A354" s="16" t="s">
        <v>29</v>
      </c>
      <c r="B354" s="21">
        <v>44646</v>
      </c>
      <c r="C354" s="16" t="s">
        <v>4</v>
      </c>
      <c r="D354" s="17">
        <v>4.2748670000000003E-2</v>
      </c>
      <c r="E354" s="18">
        <v>572.88329999999996</v>
      </c>
      <c r="F354" s="18">
        <v>0.51</v>
      </c>
      <c r="G354" s="16" t="s">
        <v>80</v>
      </c>
      <c r="H354" s="20">
        <f>InputData[[#This Row],[Transacted Units]]*InputData[[#This Row],[Transacted Price (per unit)]]</f>
        <v>24.489999140211001</v>
      </c>
      <c r="I354" s="14"/>
    </row>
    <row r="355" spans="1:9" ht="15.75" customHeight="1" x14ac:dyDescent="0.25">
      <c r="A355" s="16" t="s">
        <v>29</v>
      </c>
      <c r="B355" s="21">
        <v>44646</v>
      </c>
      <c r="C355" s="16" t="s">
        <v>4</v>
      </c>
      <c r="D355" s="17">
        <v>4.564257E-2</v>
      </c>
      <c r="E355" s="18">
        <v>536.56039999999996</v>
      </c>
      <c r="F355" s="18">
        <v>0.51</v>
      </c>
      <c r="G355" s="16" t="s">
        <v>80</v>
      </c>
      <c r="H355" s="20">
        <f>InputData[[#This Row],[Transacted Units]]*InputData[[#This Row],[Transacted Price (per unit)]]</f>
        <v>24.489995616227997</v>
      </c>
      <c r="I355" s="14"/>
    </row>
    <row r="356" spans="1:9" ht="15.75" customHeight="1" x14ac:dyDescent="0.25">
      <c r="A356" s="16" t="s">
        <v>29</v>
      </c>
      <c r="B356" s="21">
        <v>44646</v>
      </c>
      <c r="C356" s="16" t="s">
        <v>4</v>
      </c>
      <c r="D356" s="17">
        <v>4.6266990000000001E-2</v>
      </c>
      <c r="E356" s="18">
        <v>529.31899999999996</v>
      </c>
      <c r="F356" s="18">
        <v>0.51</v>
      </c>
      <c r="G356" s="16" t="s">
        <v>80</v>
      </c>
      <c r="H356" s="20">
        <f>InputData[[#This Row],[Transacted Units]]*InputData[[#This Row],[Transacted Price (per unit)]]</f>
        <v>24.489996879809997</v>
      </c>
      <c r="I356" s="14"/>
    </row>
    <row r="357" spans="1:9" ht="15.75" customHeight="1" x14ac:dyDescent="0.25">
      <c r="A357" s="16" t="s">
        <v>29</v>
      </c>
      <c r="B357" s="21">
        <v>44646</v>
      </c>
      <c r="C357" s="16" t="s">
        <v>4</v>
      </c>
      <c r="D357" s="17">
        <v>4.4194320000000002E-2</v>
      </c>
      <c r="E357" s="18">
        <v>554.14359999999999</v>
      </c>
      <c r="F357" s="18">
        <v>0.51</v>
      </c>
      <c r="G357" s="16" t="s">
        <v>80</v>
      </c>
      <c r="H357" s="20">
        <f>InputData[[#This Row],[Transacted Units]]*InputData[[#This Row],[Transacted Price (per unit)]]</f>
        <v>24.489999584352002</v>
      </c>
      <c r="I357" s="14"/>
    </row>
    <row r="358" spans="1:9" ht="15.75" customHeight="1" x14ac:dyDescent="0.25">
      <c r="A358" s="16" t="s">
        <v>29</v>
      </c>
      <c r="B358" s="21">
        <v>44646</v>
      </c>
      <c r="C358" s="16" t="s">
        <v>4</v>
      </c>
      <c r="D358" s="17">
        <v>4.7348830000000001E-2</v>
      </c>
      <c r="E358" s="18">
        <v>517.22500000000002</v>
      </c>
      <c r="F358" s="18">
        <v>0.51</v>
      </c>
      <c r="G358" s="16" t="s">
        <v>80</v>
      </c>
      <c r="H358" s="20">
        <f>InputData[[#This Row],[Transacted Units]]*InputData[[#This Row],[Transacted Price (per unit)]]</f>
        <v>24.489998596750002</v>
      </c>
      <c r="I358" s="14"/>
    </row>
    <row r="359" spans="1:9" ht="15.75" customHeight="1" x14ac:dyDescent="0.25">
      <c r="A359" s="16" t="s">
        <v>29</v>
      </c>
      <c r="B359" s="21">
        <v>44646</v>
      </c>
      <c r="C359" s="16" t="s">
        <v>4</v>
      </c>
      <c r="D359" s="17">
        <v>4.103739E-2</v>
      </c>
      <c r="E359" s="18">
        <v>596.77279999999996</v>
      </c>
      <c r="F359" s="18">
        <v>0.51</v>
      </c>
      <c r="G359" s="16" t="s">
        <v>80</v>
      </c>
      <c r="H359" s="20">
        <f>InputData[[#This Row],[Transacted Units]]*InputData[[#This Row],[Transacted Price (per unit)]]</f>
        <v>24.489998134992</v>
      </c>
      <c r="I359" s="14"/>
    </row>
    <row r="360" spans="1:9" ht="15.75" customHeight="1" x14ac:dyDescent="0.25">
      <c r="A360" s="16" t="s">
        <v>29</v>
      </c>
      <c r="B360" s="21">
        <v>44646</v>
      </c>
      <c r="C360" s="16" t="s">
        <v>4</v>
      </c>
      <c r="D360" s="17">
        <v>8.6979669999999995E-2</v>
      </c>
      <c r="E360" s="18">
        <v>563.35003340000003</v>
      </c>
      <c r="F360" s="18">
        <v>1</v>
      </c>
      <c r="G360" s="16" t="s">
        <v>80</v>
      </c>
      <c r="H360" s="20">
        <f>InputData[[#This Row],[Transacted Units]]*InputData[[#This Row],[Transacted Price (per unit)]]</f>
        <v>48.999999999620975</v>
      </c>
      <c r="I360" s="14"/>
    </row>
    <row r="361" spans="1:9" ht="15.75" customHeight="1" x14ac:dyDescent="0.25">
      <c r="A361" s="16" t="s">
        <v>29</v>
      </c>
      <c r="B361" s="21">
        <v>44646</v>
      </c>
      <c r="C361" s="16" t="s">
        <v>4</v>
      </c>
      <c r="D361" s="17">
        <v>9.4207289999999999E-2</v>
      </c>
      <c r="E361" s="18">
        <v>520.1295993</v>
      </c>
      <c r="F361" s="18">
        <v>1</v>
      </c>
      <c r="G361" s="16" t="s">
        <v>80</v>
      </c>
      <c r="H361" s="20">
        <f>InputData[[#This Row],[Transacted Units]]*InputData[[#This Row],[Transacted Price (per unit)]]</f>
        <v>48.999999998838895</v>
      </c>
      <c r="I361" s="14"/>
    </row>
    <row r="362" spans="1:9" ht="15.75" customHeight="1" x14ac:dyDescent="0.25">
      <c r="A362" s="16" t="s">
        <v>29</v>
      </c>
      <c r="B362" s="21">
        <v>44646</v>
      </c>
      <c r="C362" s="16" t="s">
        <v>4</v>
      </c>
      <c r="D362" s="17">
        <v>8.9998980000000006E-2</v>
      </c>
      <c r="E362" s="18">
        <v>544.45061490000001</v>
      </c>
      <c r="F362" s="18">
        <v>1</v>
      </c>
      <c r="G362" s="16" t="s">
        <v>80</v>
      </c>
      <c r="H362" s="20">
        <f>InputData[[#This Row],[Transacted Units]]*InputData[[#This Row],[Transacted Price (per unit)]]</f>
        <v>49.000000001372804</v>
      </c>
      <c r="I362" s="14"/>
    </row>
    <row r="363" spans="1:9" ht="15.75" customHeight="1" x14ac:dyDescent="0.25">
      <c r="A363" s="16" t="s">
        <v>29</v>
      </c>
      <c r="B363" s="21">
        <v>44646</v>
      </c>
      <c r="C363" s="16" t="s">
        <v>4</v>
      </c>
      <c r="D363" s="17">
        <v>8.5292670000000001E-2</v>
      </c>
      <c r="E363" s="18">
        <v>8.5292670000000001E-2</v>
      </c>
      <c r="F363" s="18">
        <v>1</v>
      </c>
      <c r="G363" s="16" t="s">
        <v>80</v>
      </c>
      <c r="H363" s="20">
        <f>InputData[[#This Row],[Transacted Units]]*InputData[[#This Row],[Transacted Price (per unit)]]</f>
        <v>7.2748395557289004E-3</v>
      </c>
      <c r="I363" s="14"/>
    </row>
    <row r="364" spans="1:9" ht="15.75" customHeight="1" x14ac:dyDescent="0.25">
      <c r="A364" s="16" t="s">
        <v>29</v>
      </c>
      <c r="B364" s="21">
        <v>44646</v>
      </c>
      <c r="C364" s="16" t="s">
        <v>4</v>
      </c>
      <c r="D364" s="17">
        <v>9.4594880000000006E-2</v>
      </c>
      <c r="E364" s="18">
        <v>517.99843710000005</v>
      </c>
      <c r="F364" s="18">
        <v>1</v>
      </c>
      <c r="G364" s="16" t="s">
        <v>80</v>
      </c>
      <c r="H364" s="20">
        <f>InputData[[#This Row],[Transacted Units]]*InputData[[#This Row],[Transacted Price (per unit)]]</f>
        <v>48.999999997662059</v>
      </c>
      <c r="I364" s="14"/>
    </row>
    <row r="365" spans="1:9" ht="15.75" customHeight="1" x14ac:dyDescent="0.25">
      <c r="A365" s="16" t="s">
        <v>29</v>
      </c>
      <c r="B365" s="21">
        <v>44646</v>
      </c>
      <c r="C365" s="16" t="s">
        <v>4</v>
      </c>
      <c r="D365" s="17">
        <v>7.9466400000000006E-2</v>
      </c>
      <c r="E365" s="18">
        <v>616.61280739999995</v>
      </c>
      <c r="F365" s="18">
        <v>1</v>
      </c>
      <c r="G365" s="16" t="s">
        <v>80</v>
      </c>
      <c r="H365" s="20">
        <f>InputData[[#This Row],[Transacted Units]]*InputData[[#This Row],[Transacted Price (per unit)]]</f>
        <v>48.999999997971358</v>
      </c>
      <c r="I365" s="14"/>
    </row>
    <row r="366" spans="1:9" ht="15.75" customHeight="1" x14ac:dyDescent="0.25">
      <c r="A366" s="16" t="s">
        <v>29</v>
      </c>
      <c r="B366" s="21">
        <v>44646</v>
      </c>
      <c r="C366" s="16" t="s">
        <v>4</v>
      </c>
      <c r="D366" s="17">
        <v>0.17799999999999999</v>
      </c>
      <c r="E366" s="18">
        <v>537.13</v>
      </c>
      <c r="F366" s="18">
        <v>9.8000000000000004E-2</v>
      </c>
      <c r="G366" s="16" t="s">
        <v>80</v>
      </c>
      <c r="H366" s="20">
        <f>InputData[[#This Row],[Transacted Units]]*InputData[[#This Row],[Transacted Price (per unit)]]</f>
        <v>95.609139999999996</v>
      </c>
      <c r="I366" s="14"/>
    </row>
    <row r="367" spans="1:9" ht="15.75" customHeight="1" x14ac:dyDescent="0.25">
      <c r="A367" s="16" t="s">
        <v>30</v>
      </c>
      <c r="B367" s="21">
        <v>44475</v>
      </c>
      <c r="C367" s="16" t="s">
        <v>2</v>
      </c>
      <c r="D367" s="17">
        <v>226.86076869999999</v>
      </c>
      <c r="E367" s="18">
        <v>0.43643464999999998</v>
      </c>
      <c r="F367" s="18">
        <v>0.99009901</v>
      </c>
      <c r="G367" s="16" t="s">
        <v>80</v>
      </c>
      <c r="H367" s="20">
        <f>InputData[[#This Row],[Transacted Units]]*InputData[[#This Row],[Transacted Price (per unit)]]</f>
        <v>99.009900186315448</v>
      </c>
      <c r="I367" s="14"/>
    </row>
    <row r="368" spans="1:9" ht="15.75" customHeight="1" x14ac:dyDescent="0.25">
      <c r="A368" s="16" t="s">
        <v>30</v>
      </c>
      <c r="B368" s="21">
        <v>44475</v>
      </c>
      <c r="C368" s="16" t="s">
        <v>2</v>
      </c>
      <c r="D368" s="17">
        <v>226.86076869999999</v>
      </c>
      <c r="E368" s="18">
        <v>0.43643464999999998</v>
      </c>
      <c r="F368" s="18">
        <v>0.99009901</v>
      </c>
      <c r="G368" s="16" t="s">
        <v>80</v>
      </c>
      <c r="H368" s="20">
        <f>InputData[[#This Row],[Transacted Units]]*InputData[[#This Row],[Transacted Price (per unit)]]</f>
        <v>99.009900186315448</v>
      </c>
      <c r="I368" s="14"/>
    </row>
    <row r="369" spans="1:9" ht="15.75" customHeight="1" x14ac:dyDescent="0.25">
      <c r="A369" s="16" t="s">
        <v>30</v>
      </c>
      <c r="B369" s="21">
        <v>44381</v>
      </c>
      <c r="C369" s="16" t="s">
        <v>2</v>
      </c>
      <c r="D369" s="17">
        <v>1543.2</v>
      </c>
      <c r="E369" s="18">
        <v>0.32400000000000001</v>
      </c>
      <c r="F369" s="18">
        <v>0.49999680000000002</v>
      </c>
      <c r="G369" s="16" t="s">
        <v>80</v>
      </c>
      <c r="H369" s="20">
        <f>InputData[[#This Row],[Transacted Units]]*InputData[[#This Row],[Transacted Price (per unit)]]</f>
        <v>499.99680000000001</v>
      </c>
      <c r="I369" s="14"/>
    </row>
    <row r="370" spans="1:9" ht="15.75" customHeight="1" x14ac:dyDescent="0.25">
      <c r="A370" s="16" t="s">
        <v>30</v>
      </c>
      <c r="B370" s="21">
        <v>44382</v>
      </c>
      <c r="C370" s="16" t="s">
        <v>2</v>
      </c>
      <c r="D370" s="17">
        <v>1547.9</v>
      </c>
      <c r="E370" s="18">
        <v>0.32300000000000001</v>
      </c>
      <c r="F370" s="18">
        <v>0.49897039999999998</v>
      </c>
      <c r="G370" s="16" t="s">
        <v>80</v>
      </c>
      <c r="H370" s="20">
        <f>InputData[[#This Row],[Transacted Units]]*InputData[[#This Row],[Transacted Price (per unit)]]</f>
        <v>499.97170000000006</v>
      </c>
      <c r="I370" s="14"/>
    </row>
    <row r="371" spans="1:9" ht="15.75" customHeight="1" x14ac:dyDescent="0.25">
      <c r="A371" s="16" t="s">
        <v>30</v>
      </c>
      <c r="B371" s="21">
        <v>44386</v>
      </c>
      <c r="C371" s="16" t="s">
        <v>2</v>
      </c>
      <c r="D371" s="17">
        <v>1000</v>
      </c>
      <c r="E371" s="18">
        <v>0.27611000000000002</v>
      </c>
      <c r="F371" s="18">
        <v>0.27600000000000002</v>
      </c>
      <c r="G371" s="16" t="s">
        <v>80</v>
      </c>
      <c r="H371" s="20">
        <f>InputData[[#This Row],[Transacted Units]]*InputData[[#This Row],[Transacted Price (per unit)]]</f>
        <v>276.11</v>
      </c>
      <c r="I371" s="14"/>
    </row>
    <row r="372" spans="1:9" ht="15.75" customHeight="1" x14ac:dyDescent="0.25">
      <c r="A372" s="16" t="s">
        <v>30</v>
      </c>
      <c r="B372" s="21">
        <v>44386</v>
      </c>
      <c r="C372" s="16" t="s">
        <v>2</v>
      </c>
      <c r="D372" s="17">
        <v>843.5</v>
      </c>
      <c r="E372" s="18">
        <v>0.27611000000000002</v>
      </c>
      <c r="F372" s="18">
        <v>0.232898785</v>
      </c>
      <c r="G372" s="16" t="s">
        <v>80</v>
      </c>
      <c r="H372" s="20">
        <f>InputData[[#This Row],[Transacted Units]]*InputData[[#This Row],[Transacted Price (per unit)]]</f>
        <v>232.89878500000003</v>
      </c>
      <c r="I372" s="14"/>
    </row>
    <row r="373" spans="1:9" ht="15.75" customHeight="1" x14ac:dyDescent="0.25">
      <c r="A373" s="16" t="s">
        <v>30</v>
      </c>
      <c r="B373" s="21">
        <v>44501</v>
      </c>
      <c r="C373" s="16" t="s">
        <v>5</v>
      </c>
      <c r="D373" s="17">
        <v>226</v>
      </c>
      <c r="E373" s="18">
        <v>0.36109999999999998</v>
      </c>
      <c r="F373" s="18">
        <v>7.9803100000000002E-2</v>
      </c>
      <c r="G373" s="16" t="s">
        <v>80</v>
      </c>
      <c r="H373" s="20">
        <f>InputData[[#This Row],[Transacted Units]]*InputData[[#This Row],[Transacted Price (per unit)]]</f>
        <v>81.608599999999996</v>
      </c>
      <c r="I373" s="14"/>
    </row>
    <row r="374" spans="1:9" ht="15.75" customHeight="1" x14ac:dyDescent="0.25">
      <c r="A374" s="16" t="s">
        <v>30</v>
      </c>
      <c r="B374" s="21">
        <v>44389</v>
      </c>
      <c r="C374" s="16" t="s">
        <v>5</v>
      </c>
      <c r="D374" s="17">
        <v>1843.5</v>
      </c>
      <c r="E374" s="18">
        <v>0.28881000000000001</v>
      </c>
      <c r="F374" s="18">
        <v>0.53242124000000002</v>
      </c>
      <c r="G374" s="16" t="s">
        <v>80</v>
      </c>
      <c r="H374" s="20">
        <f>InputData[[#This Row],[Transacted Units]]*InputData[[#This Row],[Transacted Price (per unit)]]</f>
        <v>532.42123500000002</v>
      </c>
      <c r="I374" s="14"/>
    </row>
    <row r="375" spans="1:9" ht="15.75" customHeight="1" x14ac:dyDescent="0.25">
      <c r="A375" s="16" t="s">
        <v>30</v>
      </c>
      <c r="B375" s="21">
        <v>44382</v>
      </c>
      <c r="C375" s="16" t="s">
        <v>5</v>
      </c>
      <c r="D375" s="17">
        <v>1507</v>
      </c>
      <c r="E375" s="18">
        <v>0.33178999999999997</v>
      </c>
      <c r="F375" s="18">
        <v>0.50000752999999998</v>
      </c>
      <c r="G375" s="16" t="s">
        <v>80</v>
      </c>
      <c r="H375" s="20">
        <f>InputData[[#This Row],[Transacted Units]]*InputData[[#This Row],[Transacted Price (per unit)]]</f>
        <v>500.00752999999997</v>
      </c>
      <c r="I375" s="14"/>
    </row>
    <row r="376" spans="1:9" ht="15.75" customHeight="1" x14ac:dyDescent="0.25">
      <c r="A376" s="16" t="s">
        <v>30</v>
      </c>
      <c r="B376" s="21">
        <v>44410</v>
      </c>
      <c r="C376" s="16" t="s">
        <v>5</v>
      </c>
      <c r="D376" s="17">
        <v>1580</v>
      </c>
      <c r="E376" s="18">
        <v>0.27989000000000003</v>
      </c>
      <c r="F376" s="18">
        <v>0.44222620000000001</v>
      </c>
      <c r="G376" s="16" t="s">
        <v>80</v>
      </c>
      <c r="H376" s="20">
        <f>InputData[[#This Row],[Transacted Units]]*InputData[[#This Row],[Transacted Price (per unit)]]</f>
        <v>442.22620000000006</v>
      </c>
      <c r="I376" s="14"/>
    </row>
    <row r="377" spans="1:9" ht="15.75" customHeight="1" x14ac:dyDescent="0.25">
      <c r="A377" s="16" t="s">
        <v>30</v>
      </c>
      <c r="B377" s="21">
        <v>44409</v>
      </c>
      <c r="C377" s="16" t="s">
        <v>5</v>
      </c>
      <c r="D377" s="17">
        <v>231.8</v>
      </c>
      <c r="E377" s="18">
        <v>0.45120793790000002</v>
      </c>
      <c r="F377" s="18">
        <v>0</v>
      </c>
      <c r="G377" s="16" t="s">
        <v>80</v>
      </c>
      <c r="H377" s="20">
        <f>InputData[[#This Row],[Transacted Units]]*InputData[[#This Row],[Transacted Price (per unit)]]</f>
        <v>104.59000000522001</v>
      </c>
      <c r="I377" s="14"/>
    </row>
    <row r="378" spans="1:9" ht="15.75" customHeight="1" x14ac:dyDescent="0.25">
      <c r="A378" s="16" t="s">
        <v>31</v>
      </c>
      <c r="B378" s="21">
        <v>44646</v>
      </c>
      <c r="C378" s="16" t="s">
        <v>2</v>
      </c>
      <c r="D378" s="17">
        <v>546.6</v>
      </c>
      <c r="E378" s="18">
        <v>1.4087000000000001E-2</v>
      </c>
      <c r="F378" s="18">
        <v>0</v>
      </c>
      <c r="G378" s="16" t="s">
        <v>80</v>
      </c>
      <c r="H378" s="20">
        <f>InputData[[#This Row],[Transacted Units]]*InputData[[#This Row],[Transacted Price (per unit)]]</f>
        <v>7.6999542000000005</v>
      </c>
      <c r="I378" s="14"/>
    </row>
    <row r="379" spans="1:9" ht="15.75" customHeight="1" x14ac:dyDescent="0.25">
      <c r="A379" s="16" t="s">
        <v>31</v>
      </c>
      <c r="B379" s="21">
        <v>44646</v>
      </c>
      <c r="C379" s="16" t="s">
        <v>3</v>
      </c>
      <c r="D379" s="17">
        <v>546.6</v>
      </c>
      <c r="E379" s="18">
        <v>0.17</v>
      </c>
      <c r="F379" s="18">
        <v>0.09</v>
      </c>
      <c r="G379" s="16" t="s">
        <v>80</v>
      </c>
      <c r="H379" s="20">
        <f>InputData[[#This Row],[Transacted Units]]*InputData[[#This Row],[Transacted Price (per unit)]]</f>
        <v>92.922000000000011</v>
      </c>
      <c r="I379" s="14"/>
    </row>
    <row r="380" spans="1:9" ht="15.75" customHeight="1" x14ac:dyDescent="0.25">
      <c r="A380" s="16" t="s">
        <v>32</v>
      </c>
      <c r="B380" s="21">
        <v>44490</v>
      </c>
      <c r="C380" s="16" t="s">
        <v>4</v>
      </c>
      <c r="D380" s="17">
        <v>27.61</v>
      </c>
      <c r="E380" s="18">
        <v>0.51</v>
      </c>
      <c r="F380" s="18">
        <v>0</v>
      </c>
      <c r="G380" s="16" t="s">
        <v>80</v>
      </c>
      <c r="H380" s="20">
        <f>InputData[[#This Row],[Transacted Units]]*InputData[[#This Row],[Transacted Price (per unit)]]</f>
        <v>14.081099999999999</v>
      </c>
      <c r="I380" s="14"/>
    </row>
    <row r="381" spans="1:9" ht="15.75" customHeight="1" x14ac:dyDescent="0.25">
      <c r="A381" s="16" t="s">
        <v>32</v>
      </c>
      <c r="B381" s="21">
        <v>44490</v>
      </c>
      <c r="C381" s="16" t="s">
        <v>5</v>
      </c>
      <c r="D381" s="17">
        <v>0.71</v>
      </c>
      <c r="E381" s="18">
        <v>32.456541999999999</v>
      </c>
      <c r="F381" s="18">
        <v>2.3044144820000001E-2</v>
      </c>
      <c r="G381" s="16" t="s">
        <v>80</v>
      </c>
      <c r="H381" s="20">
        <f>InputData[[#This Row],[Transacted Units]]*InputData[[#This Row],[Transacted Price (per unit)]]</f>
        <v>23.04414482</v>
      </c>
      <c r="I381" s="14"/>
    </row>
    <row r="382" spans="1:9" ht="15.75" customHeight="1" x14ac:dyDescent="0.25">
      <c r="A382" s="16" t="s">
        <v>32</v>
      </c>
      <c r="B382" s="21">
        <v>44581</v>
      </c>
      <c r="C382" s="16" t="s">
        <v>5</v>
      </c>
      <c r="D382" s="17">
        <v>26.9</v>
      </c>
      <c r="E382" s="18">
        <v>3.5995716230000001</v>
      </c>
      <c r="F382" s="18">
        <v>1.56299417E-4</v>
      </c>
      <c r="G382" s="16" t="s">
        <v>80</v>
      </c>
      <c r="H382" s="20">
        <f>InputData[[#This Row],[Transacted Units]]*InputData[[#This Row],[Transacted Price (per unit)]]</f>
        <v>96.828476658699998</v>
      </c>
      <c r="I382" s="14"/>
    </row>
    <row r="383" spans="1:9" ht="15.75" customHeight="1" x14ac:dyDescent="0.25">
      <c r="A383" s="16" t="s">
        <v>33</v>
      </c>
      <c r="B383" s="21">
        <v>44555</v>
      </c>
      <c r="C383" s="16" t="s">
        <v>4</v>
      </c>
      <c r="D383" s="17">
        <v>3</v>
      </c>
      <c r="E383" s="18">
        <v>5.0616428530000004</v>
      </c>
      <c r="F383" s="18">
        <v>4.2341490000000004E-3</v>
      </c>
      <c r="G383" s="16" t="s">
        <v>80</v>
      </c>
      <c r="H383" s="20">
        <f>InputData[[#This Row],[Transacted Units]]*InputData[[#This Row],[Transacted Price (per unit)]]</f>
        <v>15.184928559000001</v>
      </c>
      <c r="I383" s="14"/>
    </row>
    <row r="384" spans="1:9" ht="15.75" customHeight="1" x14ac:dyDescent="0.25">
      <c r="A384" s="16" t="s">
        <v>33</v>
      </c>
      <c r="B384" s="21">
        <v>44552</v>
      </c>
      <c r="C384" s="16" t="s">
        <v>4</v>
      </c>
      <c r="D384" s="17">
        <v>177</v>
      </c>
      <c r="E384" s="18">
        <v>4.6773232619999998</v>
      </c>
      <c r="F384" s="18">
        <v>0.24981479100000001</v>
      </c>
      <c r="G384" s="16" t="s">
        <v>80</v>
      </c>
      <c r="H384" s="20">
        <f>InputData[[#This Row],[Transacted Units]]*InputData[[#This Row],[Transacted Price (per unit)]]</f>
        <v>827.88621737400001</v>
      </c>
      <c r="I384" s="14"/>
    </row>
    <row r="385" spans="1:9" ht="15.75" customHeight="1" x14ac:dyDescent="0.25">
      <c r="A385" s="16" t="s">
        <v>33</v>
      </c>
      <c r="B385" s="21">
        <v>44552</v>
      </c>
      <c r="C385" s="16" t="s">
        <v>4</v>
      </c>
      <c r="D385" s="17">
        <v>40</v>
      </c>
      <c r="E385" s="18">
        <v>4.6773232619999998</v>
      </c>
      <c r="F385" s="18">
        <v>5.6455320000000003E-2</v>
      </c>
      <c r="G385" s="16" t="s">
        <v>80</v>
      </c>
      <c r="H385" s="20">
        <f>InputData[[#This Row],[Transacted Units]]*InputData[[#This Row],[Transacted Price (per unit)]]</f>
        <v>187.09293048000001</v>
      </c>
      <c r="I385" s="14"/>
    </row>
    <row r="386" spans="1:9" ht="15.75" customHeight="1" x14ac:dyDescent="0.25">
      <c r="A386" s="16" t="s">
        <v>33</v>
      </c>
      <c r="B386" s="21">
        <v>44525</v>
      </c>
      <c r="C386" s="16" t="s">
        <v>4</v>
      </c>
      <c r="D386" s="17">
        <v>70</v>
      </c>
      <c r="E386" s="18">
        <v>7.1980532999999998</v>
      </c>
      <c r="F386" s="18">
        <v>9.8796809999999999E-2</v>
      </c>
      <c r="G386" s="16" t="s">
        <v>80</v>
      </c>
      <c r="H386" s="20">
        <f>InputData[[#This Row],[Transacted Units]]*InputData[[#This Row],[Transacted Price (per unit)]]</f>
        <v>503.86373099999997</v>
      </c>
      <c r="I386" s="14"/>
    </row>
    <row r="387" spans="1:9" ht="15.75" customHeight="1" x14ac:dyDescent="0.25">
      <c r="A387" s="16" t="s">
        <v>33</v>
      </c>
      <c r="B387" s="21">
        <v>44557</v>
      </c>
      <c r="C387" s="16" t="s">
        <v>5</v>
      </c>
      <c r="D387" s="17">
        <v>3</v>
      </c>
      <c r="E387" s="18">
        <v>5.4454766640000001</v>
      </c>
      <c r="F387" s="18">
        <v>2.1482116799999999E-5</v>
      </c>
      <c r="G387" s="16" t="s">
        <v>80</v>
      </c>
      <c r="H387" s="20">
        <f>InputData[[#This Row],[Transacted Units]]*InputData[[#This Row],[Transacted Price (per unit)]]</f>
        <v>16.336429991999999</v>
      </c>
      <c r="I387" s="14"/>
    </row>
    <row r="388" spans="1:9" ht="15.75" customHeight="1" x14ac:dyDescent="0.25">
      <c r="A388" s="16" t="s">
        <v>33</v>
      </c>
      <c r="B388" s="21">
        <v>44554</v>
      </c>
      <c r="C388" s="16" t="s">
        <v>5</v>
      </c>
      <c r="D388" s="17">
        <v>9</v>
      </c>
      <c r="E388" s="18">
        <v>4.8978379439999999</v>
      </c>
      <c r="F388" s="18">
        <v>4.4080541500000001E-2</v>
      </c>
      <c r="G388" s="16" t="s">
        <v>80</v>
      </c>
      <c r="H388" s="20">
        <f>InputData[[#This Row],[Transacted Units]]*InputData[[#This Row],[Transacted Price (per unit)]]</f>
        <v>44.080541496000002</v>
      </c>
      <c r="I388" s="14"/>
    </row>
    <row r="389" spans="1:9" ht="15.75" customHeight="1" x14ac:dyDescent="0.25">
      <c r="A389" s="16" t="s">
        <v>33</v>
      </c>
      <c r="B389" s="21">
        <v>44554</v>
      </c>
      <c r="C389" s="16" t="s">
        <v>5</v>
      </c>
      <c r="D389" s="17">
        <v>77</v>
      </c>
      <c r="E389" s="18">
        <v>4.8986848079999996</v>
      </c>
      <c r="F389" s="18">
        <v>0.3771987302</v>
      </c>
      <c r="G389" s="16" t="s">
        <v>80</v>
      </c>
      <c r="H389" s="20">
        <f>InputData[[#This Row],[Transacted Units]]*InputData[[#This Row],[Transacted Price (per unit)]]</f>
        <v>377.19873021599994</v>
      </c>
      <c r="I389" s="14"/>
    </row>
    <row r="390" spans="1:9" ht="15.75" customHeight="1" x14ac:dyDescent="0.25">
      <c r="A390" s="16" t="s">
        <v>34</v>
      </c>
      <c r="B390" s="21">
        <v>44482</v>
      </c>
      <c r="C390" s="16" t="s">
        <v>4</v>
      </c>
      <c r="D390" s="17">
        <v>2.5499999999999998</v>
      </c>
      <c r="E390" s="18">
        <v>0.1</v>
      </c>
      <c r="F390" s="18">
        <v>2.3396759999999999E-2</v>
      </c>
      <c r="G390" s="16" t="s">
        <v>80</v>
      </c>
      <c r="H390" s="20">
        <f>InputData[[#This Row],[Transacted Units]]*InputData[[#This Row],[Transacted Price (per unit)]]</f>
        <v>0.255</v>
      </c>
      <c r="I390" s="14"/>
    </row>
    <row r="391" spans="1:9" ht="15.75" customHeight="1" x14ac:dyDescent="0.25">
      <c r="A391" s="16" t="s">
        <v>34</v>
      </c>
      <c r="B391" s="21">
        <v>44516</v>
      </c>
      <c r="C391" s="16" t="s">
        <v>5</v>
      </c>
      <c r="D391" s="17">
        <v>2.5499999999999998</v>
      </c>
      <c r="E391" s="18">
        <v>9.1752000000000002</v>
      </c>
      <c r="F391" s="18">
        <v>2.3396759999999999E-2</v>
      </c>
      <c r="G391" s="16" t="s">
        <v>80</v>
      </c>
      <c r="H391" s="20">
        <f>InputData[[#This Row],[Transacted Units]]*InputData[[#This Row],[Transacted Price (per unit)]]</f>
        <v>23.39676</v>
      </c>
      <c r="I391" s="14"/>
    </row>
    <row r="392" spans="1:9" ht="15.75" customHeight="1" x14ac:dyDescent="0.25">
      <c r="A392" s="23" t="s">
        <v>35</v>
      </c>
      <c r="B392" s="15">
        <v>44393</v>
      </c>
      <c r="C392" s="23" t="s">
        <v>4</v>
      </c>
      <c r="D392" s="22">
        <v>275411191</v>
      </c>
      <c r="E392" s="19">
        <v>2.3E-6</v>
      </c>
      <c r="F392" s="19">
        <v>0</v>
      </c>
      <c r="G392" s="16" t="s">
        <v>80</v>
      </c>
      <c r="H392" s="20">
        <f>InputData[[#This Row],[Transacted Units]]*InputData[[#This Row],[Transacted Price (per unit)]]</f>
        <v>633.44573930000001</v>
      </c>
      <c r="I392" s="14"/>
    </row>
    <row r="393" spans="1:9" ht="15.75" customHeight="1" x14ac:dyDescent="0.25">
      <c r="A393" s="23" t="s">
        <v>35</v>
      </c>
      <c r="B393" s="15">
        <v>44438</v>
      </c>
      <c r="C393" s="23" t="s">
        <v>4</v>
      </c>
      <c r="D393" s="22">
        <v>1726618</v>
      </c>
      <c r="E393" s="19">
        <v>9.8300000000000008E-6</v>
      </c>
      <c r="F393" s="19">
        <v>0</v>
      </c>
      <c r="G393" s="16" t="s">
        <v>80</v>
      </c>
      <c r="H393" s="20">
        <f>InputData[[#This Row],[Transacted Units]]*InputData[[#This Row],[Transacted Price (per unit)]]</f>
        <v>16.972654940000002</v>
      </c>
      <c r="I393" s="14"/>
    </row>
    <row r="394" spans="1:9" ht="15.75" customHeight="1" x14ac:dyDescent="0.25">
      <c r="A394" s="23" t="s">
        <v>35</v>
      </c>
      <c r="B394" s="15">
        <v>44443</v>
      </c>
      <c r="C394" s="23" t="s">
        <v>4</v>
      </c>
      <c r="D394" s="22">
        <v>1355705</v>
      </c>
      <c r="E394" s="19">
        <v>1.0540000000000001E-5</v>
      </c>
      <c r="F394" s="19">
        <v>0</v>
      </c>
      <c r="G394" s="16" t="s">
        <v>80</v>
      </c>
      <c r="H394" s="20">
        <f>InputData[[#This Row],[Transacted Units]]*InputData[[#This Row],[Transacted Price (per unit)]]</f>
        <v>14.289130700000001</v>
      </c>
      <c r="I394" s="14"/>
    </row>
    <row r="395" spans="1:9" ht="15.75" customHeight="1" x14ac:dyDescent="0.25">
      <c r="A395" s="23" t="s">
        <v>35</v>
      </c>
      <c r="B395" s="15">
        <v>44443</v>
      </c>
      <c r="C395" s="23" t="s">
        <v>4</v>
      </c>
      <c r="D395" s="22">
        <v>1345896</v>
      </c>
      <c r="E395" s="19">
        <v>1.0509999999999999E-5</v>
      </c>
      <c r="F395" s="19">
        <v>0</v>
      </c>
      <c r="G395" s="16" t="s">
        <v>80</v>
      </c>
      <c r="H395" s="20">
        <f>InputData[[#This Row],[Transacted Units]]*InputData[[#This Row],[Transacted Price (per unit)]]</f>
        <v>14.145366959999999</v>
      </c>
      <c r="I395" s="14"/>
    </row>
    <row r="396" spans="1:9" ht="15.75" customHeight="1" x14ac:dyDescent="0.25">
      <c r="A396" s="23" t="s">
        <v>35</v>
      </c>
      <c r="B396" s="15">
        <v>44444</v>
      </c>
      <c r="C396" s="23" t="s">
        <v>4</v>
      </c>
      <c r="D396" s="22">
        <v>2029770</v>
      </c>
      <c r="E396" s="19">
        <v>1.046E-5</v>
      </c>
      <c r="F396" s="19">
        <v>0</v>
      </c>
      <c r="G396" s="16" t="s">
        <v>80</v>
      </c>
      <c r="H396" s="20">
        <f>InputData[[#This Row],[Transacted Units]]*InputData[[#This Row],[Transacted Price (per unit)]]</f>
        <v>21.2313942</v>
      </c>
      <c r="I396" s="14"/>
    </row>
    <row r="397" spans="1:9" ht="15.75" customHeight="1" x14ac:dyDescent="0.25">
      <c r="A397" s="23" t="s">
        <v>35</v>
      </c>
      <c r="B397" s="15">
        <v>44444</v>
      </c>
      <c r="C397" s="23" t="s">
        <v>5</v>
      </c>
      <c r="D397" s="22">
        <v>4680001</v>
      </c>
      <c r="E397" s="19">
        <v>1.061E-5</v>
      </c>
      <c r="F397" s="19">
        <v>0</v>
      </c>
      <c r="G397" s="16" t="s">
        <v>80</v>
      </c>
      <c r="H397" s="20">
        <f>InputData[[#This Row],[Transacted Units]]*InputData[[#This Row],[Transacted Price (per unit)]]</f>
        <v>49.654810609999998</v>
      </c>
      <c r="I397" s="14"/>
    </row>
    <row r="398" spans="1:9" ht="15.75" customHeight="1" x14ac:dyDescent="0.25">
      <c r="A398" s="23" t="s">
        <v>35</v>
      </c>
      <c r="B398" s="15">
        <v>44444</v>
      </c>
      <c r="C398" s="23" t="s">
        <v>4</v>
      </c>
      <c r="D398" s="22">
        <v>1344874</v>
      </c>
      <c r="E398" s="19">
        <v>1.063E-5</v>
      </c>
      <c r="F398" s="19">
        <v>0</v>
      </c>
      <c r="G398" s="16" t="s">
        <v>80</v>
      </c>
      <c r="H398" s="20">
        <f>InputData[[#This Row],[Transacted Units]]*InputData[[#This Row],[Transacted Price (per unit)]]</f>
        <v>14.296010620000001</v>
      </c>
      <c r="I398" s="14"/>
    </row>
    <row r="399" spans="1:9" ht="15.75" customHeight="1" x14ac:dyDescent="0.25">
      <c r="A399" s="23" t="s">
        <v>35</v>
      </c>
      <c r="B399" s="15">
        <v>44444</v>
      </c>
      <c r="C399" s="23" t="s">
        <v>4</v>
      </c>
      <c r="D399" s="22">
        <v>1335114</v>
      </c>
      <c r="E399" s="19">
        <v>1.06E-5</v>
      </c>
      <c r="F399" s="19">
        <v>0</v>
      </c>
      <c r="G399" s="16" t="s">
        <v>80</v>
      </c>
      <c r="H399" s="20">
        <f>InputData[[#This Row],[Transacted Units]]*InputData[[#This Row],[Transacted Price (per unit)]]</f>
        <v>14.152208400000001</v>
      </c>
      <c r="I399" s="14"/>
    </row>
    <row r="400" spans="1:9" ht="15.75" customHeight="1" x14ac:dyDescent="0.25">
      <c r="A400" s="23" t="s">
        <v>35</v>
      </c>
      <c r="B400" s="15">
        <v>44444</v>
      </c>
      <c r="C400" s="23" t="s">
        <v>4</v>
      </c>
      <c r="D400" s="22">
        <v>2013423</v>
      </c>
      <c r="E400" s="19">
        <v>1.0540000000000001E-5</v>
      </c>
      <c r="F400" s="19">
        <v>0</v>
      </c>
      <c r="G400" s="16" t="s">
        <v>80</v>
      </c>
      <c r="H400" s="20">
        <f>InputData[[#This Row],[Transacted Units]]*InputData[[#This Row],[Transacted Price (per unit)]]</f>
        <v>21.22147842</v>
      </c>
      <c r="I400" s="14"/>
    </row>
    <row r="401" spans="1:9" ht="15.75" customHeight="1" x14ac:dyDescent="0.25">
      <c r="A401" s="23" t="s">
        <v>35</v>
      </c>
      <c r="B401" s="15">
        <v>44444</v>
      </c>
      <c r="C401" s="23" t="s">
        <v>4</v>
      </c>
      <c r="D401" s="22">
        <v>3052918</v>
      </c>
      <c r="E401" s="19">
        <v>1.043E-5</v>
      </c>
      <c r="F401" s="19">
        <v>0</v>
      </c>
      <c r="G401" s="16" t="s">
        <v>80</v>
      </c>
      <c r="H401" s="20">
        <f>InputData[[#This Row],[Transacted Units]]*InputData[[#This Row],[Transacted Price (per unit)]]</f>
        <v>31.841934739999999</v>
      </c>
      <c r="I401" s="14"/>
    </row>
    <row r="402" spans="1:9" ht="15.75" customHeight="1" x14ac:dyDescent="0.25">
      <c r="A402" s="23" t="s">
        <v>35</v>
      </c>
      <c r="B402" s="15">
        <v>44444</v>
      </c>
      <c r="C402" s="23" t="s">
        <v>4</v>
      </c>
      <c r="D402" s="22">
        <v>6139154</v>
      </c>
      <c r="E402" s="19">
        <v>1.0370000000000001E-5</v>
      </c>
      <c r="F402" s="19">
        <v>0</v>
      </c>
      <c r="G402" s="16" t="s">
        <v>80</v>
      </c>
      <c r="H402" s="20">
        <f>InputData[[#This Row],[Transacted Units]]*InputData[[#This Row],[Transacted Price (per unit)]]</f>
        <v>63.663026980000005</v>
      </c>
      <c r="I402" s="14"/>
    </row>
    <row r="403" spans="1:9" ht="15.75" customHeight="1" x14ac:dyDescent="0.25">
      <c r="A403" s="23" t="s">
        <v>35</v>
      </c>
      <c r="B403" s="15">
        <v>44445</v>
      </c>
      <c r="C403" s="23" t="s">
        <v>5</v>
      </c>
      <c r="D403" s="22">
        <v>13753353</v>
      </c>
      <c r="E403" s="19">
        <v>1.058E-5</v>
      </c>
      <c r="F403" s="19">
        <v>0</v>
      </c>
      <c r="G403" s="16" t="s">
        <v>80</v>
      </c>
      <c r="H403" s="20">
        <f>InputData[[#This Row],[Transacted Units]]*InputData[[#This Row],[Transacted Price (per unit)]]</f>
        <v>145.51047474000001</v>
      </c>
      <c r="I403" s="14"/>
    </row>
    <row r="404" spans="1:9" ht="15.75" customHeight="1" x14ac:dyDescent="0.25">
      <c r="A404" s="23" t="s">
        <v>35</v>
      </c>
      <c r="B404" s="15">
        <v>44445</v>
      </c>
      <c r="C404" s="23" t="s">
        <v>4</v>
      </c>
      <c r="D404" s="22">
        <v>3342246</v>
      </c>
      <c r="E404" s="19">
        <v>1.058E-5</v>
      </c>
      <c r="F404" s="19">
        <v>0</v>
      </c>
      <c r="G404" s="16" t="s">
        <v>80</v>
      </c>
      <c r="H404" s="20">
        <f>InputData[[#This Row],[Transacted Units]]*InputData[[#This Row],[Transacted Price (per unit)]]</f>
        <v>35.36096268</v>
      </c>
      <c r="I404" s="14"/>
    </row>
    <row r="405" spans="1:9" ht="15.75" customHeight="1" x14ac:dyDescent="0.25">
      <c r="A405" s="23" t="s">
        <v>35</v>
      </c>
      <c r="B405" s="15">
        <v>44445</v>
      </c>
      <c r="C405" s="23" t="s">
        <v>4</v>
      </c>
      <c r="D405" s="22">
        <v>5361931</v>
      </c>
      <c r="E405" s="19">
        <v>1.0560000000000001E-5</v>
      </c>
      <c r="F405" s="19">
        <v>0</v>
      </c>
      <c r="G405" s="16" t="s">
        <v>80</v>
      </c>
      <c r="H405" s="20">
        <f>InputData[[#This Row],[Transacted Units]]*InputData[[#This Row],[Transacted Price (per unit)]]</f>
        <v>56.621991360000003</v>
      </c>
      <c r="I405" s="14"/>
    </row>
    <row r="406" spans="1:9" ht="15.75" customHeight="1" x14ac:dyDescent="0.25">
      <c r="A406" s="23" t="s">
        <v>35</v>
      </c>
      <c r="B406" s="15">
        <v>44445</v>
      </c>
      <c r="C406" s="23" t="s">
        <v>5</v>
      </c>
      <c r="D406" s="22">
        <v>8563900</v>
      </c>
      <c r="E406" s="19">
        <v>1.0740000000000001E-5</v>
      </c>
      <c r="F406" s="19">
        <v>0</v>
      </c>
      <c r="G406" s="16" t="s">
        <v>80</v>
      </c>
      <c r="H406" s="20">
        <f>InputData[[#This Row],[Transacted Units]]*InputData[[#This Row],[Transacted Price (per unit)]]</f>
        <v>91.976286000000002</v>
      </c>
      <c r="I406" s="14"/>
    </row>
    <row r="407" spans="1:9" ht="15.75" customHeight="1" x14ac:dyDescent="0.25">
      <c r="A407" s="23" t="s">
        <v>35</v>
      </c>
      <c r="B407" s="15">
        <v>44445</v>
      </c>
      <c r="C407" s="23" t="s">
        <v>4</v>
      </c>
      <c r="D407" s="22">
        <v>3311259</v>
      </c>
      <c r="E407" s="19">
        <v>1.0679999999999999E-5</v>
      </c>
      <c r="F407" s="19">
        <v>0</v>
      </c>
      <c r="G407" s="16" t="s">
        <v>80</v>
      </c>
      <c r="H407" s="20">
        <f>InputData[[#This Row],[Transacted Units]]*InputData[[#This Row],[Transacted Price (per unit)]]</f>
        <v>35.364246119999997</v>
      </c>
      <c r="I407" s="14"/>
    </row>
    <row r="408" spans="1:9" ht="15.75" customHeight="1" x14ac:dyDescent="0.25">
      <c r="A408" s="23" t="s">
        <v>35</v>
      </c>
      <c r="B408" s="15">
        <v>44445</v>
      </c>
      <c r="C408" s="23" t="s">
        <v>4</v>
      </c>
      <c r="D408" s="22">
        <v>5312085</v>
      </c>
      <c r="E408" s="19">
        <v>1.066E-5</v>
      </c>
      <c r="F408" s="19">
        <v>0</v>
      </c>
      <c r="G408" s="16" t="s">
        <v>80</v>
      </c>
      <c r="H408" s="20">
        <f>InputData[[#This Row],[Transacted Units]]*InputData[[#This Row],[Transacted Price (per unit)]]</f>
        <v>56.626826099999995</v>
      </c>
      <c r="I408" s="14"/>
    </row>
    <row r="409" spans="1:9" ht="15.75" customHeight="1" x14ac:dyDescent="0.25">
      <c r="A409" s="23" t="s">
        <v>35</v>
      </c>
      <c r="B409" s="15">
        <v>44445</v>
      </c>
      <c r="C409" s="23" t="s">
        <v>4</v>
      </c>
      <c r="D409" s="22">
        <v>8010681</v>
      </c>
      <c r="E409" s="19">
        <v>1.06E-5</v>
      </c>
      <c r="F409" s="19">
        <v>0</v>
      </c>
      <c r="G409" s="16" t="s">
        <v>80</v>
      </c>
      <c r="H409" s="20">
        <f>InputData[[#This Row],[Transacted Units]]*InputData[[#This Row],[Transacted Price (per unit)]]</f>
        <v>84.913218600000008</v>
      </c>
      <c r="I409" s="14"/>
    </row>
    <row r="410" spans="1:9" ht="15.75" customHeight="1" x14ac:dyDescent="0.25">
      <c r="A410" s="23" t="s">
        <v>35</v>
      </c>
      <c r="B410" s="15">
        <v>44445</v>
      </c>
      <c r="C410" s="23" t="s">
        <v>4</v>
      </c>
      <c r="D410" s="22">
        <v>12162163</v>
      </c>
      <c r="E410" s="19">
        <v>1.047E-5</v>
      </c>
      <c r="F410" s="19">
        <v>0</v>
      </c>
      <c r="G410" s="16" t="s">
        <v>80</v>
      </c>
      <c r="H410" s="20">
        <f>InputData[[#This Row],[Transacted Units]]*InputData[[#This Row],[Transacted Price (per unit)]]</f>
        <v>127.33784661</v>
      </c>
      <c r="I410" s="14"/>
    </row>
    <row r="411" spans="1:9" ht="15.75" customHeight="1" x14ac:dyDescent="0.25">
      <c r="A411" s="23" t="s">
        <v>35</v>
      </c>
      <c r="B411" s="15">
        <v>44445</v>
      </c>
      <c r="C411" s="23" t="s">
        <v>4</v>
      </c>
      <c r="D411" s="22">
        <v>18620690</v>
      </c>
      <c r="E411" s="19">
        <v>1.026E-5</v>
      </c>
      <c r="F411" s="19">
        <v>0</v>
      </c>
      <c r="G411" s="16" t="s">
        <v>80</v>
      </c>
      <c r="H411" s="20">
        <f>InputData[[#This Row],[Transacted Units]]*InputData[[#This Row],[Transacted Price (per unit)]]</f>
        <v>191.04827940000001</v>
      </c>
      <c r="I411" s="14"/>
    </row>
    <row r="412" spans="1:9" ht="15.75" customHeight="1" x14ac:dyDescent="0.25">
      <c r="A412" s="23" t="s">
        <v>35</v>
      </c>
      <c r="B412" s="15">
        <v>44445</v>
      </c>
      <c r="C412" s="23" t="s">
        <v>4</v>
      </c>
      <c r="D412" s="22">
        <v>13888888</v>
      </c>
      <c r="E412" s="19">
        <v>1.0190000000000001E-5</v>
      </c>
      <c r="F412" s="19">
        <v>0</v>
      </c>
      <c r="G412" s="16" t="s">
        <v>80</v>
      </c>
      <c r="H412" s="20">
        <f>InputData[[#This Row],[Transacted Units]]*InputData[[#This Row],[Transacted Price (per unit)]]</f>
        <v>141.52776872000001</v>
      </c>
      <c r="I412" s="14"/>
    </row>
    <row r="413" spans="1:9" ht="15.75" customHeight="1" x14ac:dyDescent="0.25">
      <c r="A413" s="23" t="s">
        <v>35</v>
      </c>
      <c r="B413" s="15">
        <v>44446</v>
      </c>
      <c r="C413" s="23" t="s">
        <v>4</v>
      </c>
      <c r="D413" s="22">
        <v>29136691</v>
      </c>
      <c r="E413" s="19">
        <v>9.8300000000000008E-6</v>
      </c>
      <c r="F413" s="19">
        <v>0</v>
      </c>
      <c r="G413" s="16" t="s">
        <v>80</v>
      </c>
      <c r="H413" s="20">
        <f>InputData[[#This Row],[Transacted Units]]*InputData[[#This Row],[Transacted Price (per unit)]]</f>
        <v>286.41367253000004</v>
      </c>
      <c r="I413" s="14"/>
    </row>
    <row r="414" spans="1:9" ht="15.75" customHeight="1" x14ac:dyDescent="0.25">
      <c r="A414" s="23" t="s">
        <v>35</v>
      </c>
      <c r="B414" s="15">
        <v>44446</v>
      </c>
      <c r="C414" s="23" t="s">
        <v>4</v>
      </c>
      <c r="D414" s="22">
        <v>23788546</v>
      </c>
      <c r="E414" s="19">
        <v>9.6399999999999992E-6</v>
      </c>
      <c r="F414" s="19">
        <v>0</v>
      </c>
      <c r="G414" s="16" t="s">
        <v>80</v>
      </c>
      <c r="H414" s="20">
        <f>InputData[[#This Row],[Transacted Units]]*InputData[[#This Row],[Transacted Price (per unit)]]</f>
        <v>229.32158343999998</v>
      </c>
      <c r="I414" s="14"/>
    </row>
    <row r="415" spans="1:9" ht="15.75" customHeight="1" x14ac:dyDescent="0.25">
      <c r="A415" s="23" t="s">
        <v>35</v>
      </c>
      <c r="B415" s="15">
        <v>44446</v>
      </c>
      <c r="C415" s="23" t="s">
        <v>4</v>
      </c>
      <c r="D415" s="22">
        <v>44679717</v>
      </c>
      <c r="E415" s="19">
        <v>9.6199999999999994E-6</v>
      </c>
      <c r="F415" s="19">
        <v>0</v>
      </c>
      <c r="G415" s="16" t="s">
        <v>80</v>
      </c>
      <c r="H415" s="20">
        <f>InputData[[#This Row],[Transacted Units]]*InputData[[#This Row],[Transacted Price (per unit)]]</f>
        <v>429.81887753999996</v>
      </c>
      <c r="I415" s="14"/>
    </row>
    <row r="416" spans="1:9" ht="15.75" customHeight="1" x14ac:dyDescent="0.25">
      <c r="A416" s="23" t="s">
        <v>35</v>
      </c>
      <c r="B416" s="15">
        <v>44446</v>
      </c>
      <c r="C416" s="23" t="s">
        <v>4</v>
      </c>
      <c r="D416" s="22">
        <v>6673671</v>
      </c>
      <c r="E416" s="19">
        <v>8.4999999999999999E-6</v>
      </c>
      <c r="F416" s="19">
        <v>0</v>
      </c>
      <c r="G416" s="16" t="s">
        <v>80</v>
      </c>
      <c r="H416" s="20">
        <f>InputData[[#This Row],[Transacted Units]]*InputData[[#This Row],[Transacted Price (per unit)]]</f>
        <v>56.726203499999997</v>
      </c>
      <c r="I416" s="14"/>
    </row>
    <row r="417" spans="1:9" ht="15.75" customHeight="1" x14ac:dyDescent="0.25">
      <c r="A417" s="23" t="s">
        <v>35</v>
      </c>
      <c r="B417" s="15">
        <v>44446</v>
      </c>
      <c r="C417" s="23" t="s">
        <v>4</v>
      </c>
      <c r="D417" s="22">
        <v>20176458</v>
      </c>
      <c r="E417" s="19">
        <v>8.4999999999999999E-6</v>
      </c>
      <c r="F417" s="19">
        <v>0</v>
      </c>
      <c r="G417" s="16" t="s">
        <v>80</v>
      </c>
      <c r="H417" s="20">
        <f>InputData[[#This Row],[Transacted Units]]*InputData[[#This Row],[Transacted Price (per unit)]]</f>
        <v>171.49989299999999</v>
      </c>
      <c r="I417" s="14"/>
    </row>
    <row r="418" spans="1:9" ht="15.75" customHeight="1" x14ac:dyDescent="0.25">
      <c r="A418" s="23" t="s">
        <v>35</v>
      </c>
      <c r="B418" s="15">
        <v>44446</v>
      </c>
      <c r="C418" s="23" t="s">
        <v>4</v>
      </c>
      <c r="D418" s="22">
        <v>56344546</v>
      </c>
      <c r="E418" s="19">
        <v>8.4999999999999999E-6</v>
      </c>
      <c r="F418" s="19">
        <v>0</v>
      </c>
      <c r="G418" s="16" t="s">
        <v>80</v>
      </c>
      <c r="H418" s="20">
        <f>InputData[[#This Row],[Transacted Units]]*InputData[[#This Row],[Transacted Price (per unit)]]</f>
        <v>478.92864099999997</v>
      </c>
      <c r="I418" s="14"/>
    </row>
    <row r="419" spans="1:9" ht="15.75" customHeight="1" x14ac:dyDescent="0.25">
      <c r="A419" s="23" t="s">
        <v>35</v>
      </c>
      <c r="B419" s="15">
        <v>44446</v>
      </c>
      <c r="C419" s="23" t="s">
        <v>4</v>
      </c>
      <c r="D419" s="22">
        <v>5238293</v>
      </c>
      <c r="E419" s="19">
        <v>8.4200000000000007E-6</v>
      </c>
      <c r="F419" s="19">
        <v>0</v>
      </c>
      <c r="G419" s="16" t="s">
        <v>80</v>
      </c>
      <c r="H419" s="20">
        <f>InputData[[#This Row],[Transacted Units]]*InputData[[#This Row],[Transacted Price (per unit)]]</f>
        <v>44.106427060000001</v>
      </c>
      <c r="I419" s="14"/>
    </row>
    <row r="420" spans="1:9" ht="15.75" customHeight="1" x14ac:dyDescent="0.25">
      <c r="A420" s="23" t="s">
        <v>35</v>
      </c>
      <c r="B420" s="15">
        <v>44446</v>
      </c>
      <c r="C420" s="23" t="s">
        <v>4</v>
      </c>
      <c r="D420" s="22">
        <v>34903250</v>
      </c>
      <c r="E420" s="19">
        <v>8.4200000000000007E-6</v>
      </c>
      <c r="F420" s="19">
        <v>0</v>
      </c>
      <c r="G420" s="16" t="s">
        <v>80</v>
      </c>
      <c r="H420" s="20">
        <f>InputData[[#This Row],[Transacted Units]]*InputData[[#This Row],[Transacted Price (per unit)]]</f>
        <v>293.88536500000004</v>
      </c>
      <c r="I420" s="14"/>
    </row>
    <row r="421" spans="1:9" ht="15.75" customHeight="1" x14ac:dyDescent="0.25">
      <c r="A421" s="23" t="s">
        <v>35</v>
      </c>
      <c r="B421" s="15">
        <v>44446</v>
      </c>
      <c r="C421" s="23" t="s">
        <v>4</v>
      </c>
      <c r="D421" s="22">
        <v>2589048</v>
      </c>
      <c r="E421" s="19">
        <v>8.2800000000000003E-6</v>
      </c>
      <c r="F421" s="19">
        <v>0</v>
      </c>
      <c r="G421" s="16" t="s">
        <v>80</v>
      </c>
      <c r="H421" s="20">
        <f>InputData[[#This Row],[Transacted Units]]*InputData[[#This Row],[Transacted Price (per unit)]]</f>
        <v>21.437317440000001</v>
      </c>
      <c r="I421" s="14"/>
    </row>
    <row r="422" spans="1:9" ht="15.75" customHeight="1" x14ac:dyDescent="0.25">
      <c r="A422" s="23" t="s">
        <v>35</v>
      </c>
      <c r="B422" s="15">
        <v>44446</v>
      </c>
      <c r="C422" s="23" t="s">
        <v>4</v>
      </c>
      <c r="D422" s="22">
        <v>31677823</v>
      </c>
      <c r="E422" s="19">
        <v>8.2800000000000003E-6</v>
      </c>
      <c r="F422" s="19">
        <v>0</v>
      </c>
      <c r="G422" s="16" t="s">
        <v>80</v>
      </c>
      <c r="H422" s="20">
        <f>InputData[[#This Row],[Transacted Units]]*InputData[[#This Row],[Transacted Price (per unit)]]</f>
        <v>262.29237444</v>
      </c>
      <c r="I422" s="14"/>
    </row>
    <row r="423" spans="1:9" ht="15.75" customHeight="1" x14ac:dyDescent="0.25">
      <c r="A423" s="23" t="s">
        <v>35</v>
      </c>
      <c r="B423" s="15">
        <v>44446</v>
      </c>
      <c r="C423" s="23" t="s">
        <v>4</v>
      </c>
      <c r="D423" s="22">
        <v>6698090</v>
      </c>
      <c r="E423" s="19">
        <v>8.2800000000000003E-6</v>
      </c>
      <c r="F423" s="19">
        <v>0</v>
      </c>
      <c r="G423" s="16" t="s">
        <v>80</v>
      </c>
      <c r="H423" s="20">
        <f>InputData[[#This Row],[Transacted Units]]*InputData[[#This Row],[Transacted Price (per unit)]]</f>
        <v>55.460185200000005</v>
      </c>
      <c r="I423" s="14"/>
    </row>
    <row r="424" spans="1:9" ht="15.75" customHeight="1" x14ac:dyDescent="0.25">
      <c r="A424" s="23" t="s">
        <v>35</v>
      </c>
      <c r="B424" s="15">
        <v>44473</v>
      </c>
      <c r="C424" s="23" t="s">
        <v>5</v>
      </c>
      <c r="D424" s="22">
        <v>137130802</v>
      </c>
      <c r="E424" s="19">
        <v>1.341E-5</v>
      </c>
      <c r="F424" s="19">
        <v>0</v>
      </c>
      <c r="G424" s="16" t="s">
        <v>80</v>
      </c>
      <c r="H424" s="20">
        <f>InputData[[#This Row],[Transacted Units]]*InputData[[#This Row],[Transacted Price (per unit)]]</f>
        <v>1838.92405482</v>
      </c>
      <c r="I424" s="14"/>
    </row>
    <row r="425" spans="1:9" ht="15.75" customHeight="1" x14ac:dyDescent="0.25">
      <c r="A425" s="23" t="s">
        <v>35</v>
      </c>
      <c r="B425" s="15">
        <v>44474</v>
      </c>
      <c r="C425" s="23" t="s">
        <v>5</v>
      </c>
      <c r="D425" s="22">
        <v>115873015</v>
      </c>
      <c r="E425" s="19">
        <v>1.783E-5</v>
      </c>
      <c r="F425" s="19">
        <v>0</v>
      </c>
      <c r="G425" s="16" t="s">
        <v>80</v>
      </c>
      <c r="H425" s="20">
        <f>InputData[[#This Row],[Transacted Units]]*InputData[[#This Row],[Transacted Price (per unit)]]</f>
        <v>2066.0158574500001</v>
      </c>
      <c r="I425" s="14"/>
    </row>
    <row r="426" spans="1:9" ht="15.75" customHeight="1" x14ac:dyDescent="0.25">
      <c r="A426" s="23" t="s">
        <v>35</v>
      </c>
      <c r="B426" s="15">
        <v>44477</v>
      </c>
      <c r="C426" s="23" t="s">
        <v>4</v>
      </c>
      <c r="D426" s="22">
        <v>47660312</v>
      </c>
      <c r="E426" s="19">
        <v>3.286E-5</v>
      </c>
      <c r="F426" s="19">
        <v>0</v>
      </c>
      <c r="G426" s="16" t="s">
        <v>80</v>
      </c>
      <c r="H426" s="20">
        <f>InputData[[#This Row],[Transacted Units]]*InputData[[#This Row],[Transacted Price (per unit)]]</f>
        <v>1566.1178523200001</v>
      </c>
      <c r="I426" s="14"/>
    </row>
    <row r="427" spans="1:9" ht="15.75" customHeight="1" x14ac:dyDescent="0.25">
      <c r="A427" s="23" t="s">
        <v>35</v>
      </c>
      <c r="B427" s="15">
        <v>44477</v>
      </c>
      <c r="C427" s="23" t="s">
        <v>5</v>
      </c>
      <c r="D427" s="22">
        <v>35876672</v>
      </c>
      <c r="E427" s="19">
        <v>3.2830000000000002E-5</v>
      </c>
      <c r="F427" s="19">
        <v>0</v>
      </c>
      <c r="G427" s="16" t="s">
        <v>80</v>
      </c>
      <c r="H427" s="20">
        <f>InputData[[#This Row],[Transacted Units]]*InputData[[#This Row],[Transacted Price (per unit)]]</f>
        <v>1177.83114176</v>
      </c>
      <c r="I427" s="14"/>
    </row>
    <row r="428" spans="1:9" ht="15.75" customHeight="1" x14ac:dyDescent="0.25">
      <c r="A428" s="23" t="s">
        <v>35</v>
      </c>
      <c r="B428" s="15">
        <v>44477</v>
      </c>
      <c r="C428" s="23" t="s">
        <v>5</v>
      </c>
      <c r="D428" s="22">
        <v>25457327</v>
      </c>
      <c r="E428" s="19">
        <v>3.2839999999999997E-5</v>
      </c>
      <c r="F428" s="19">
        <v>0</v>
      </c>
      <c r="G428" s="16" t="s">
        <v>80</v>
      </c>
      <c r="H428" s="20">
        <f>InputData[[#This Row],[Transacted Units]]*InputData[[#This Row],[Transacted Price (per unit)]]</f>
        <v>836.01861867999992</v>
      </c>
      <c r="I428" s="14"/>
    </row>
    <row r="429" spans="1:9" ht="15.75" customHeight="1" x14ac:dyDescent="0.25">
      <c r="A429" s="23" t="s">
        <v>35</v>
      </c>
      <c r="B429" s="15">
        <v>44477</v>
      </c>
      <c r="C429" s="23" t="s">
        <v>5</v>
      </c>
      <c r="D429" s="22">
        <v>8823717</v>
      </c>
      <c r="E429" s="19">
        <v>3.2839999999999997E-5</v>
      </c>
      <c r="F429" s="19">
        <v>0</v>
      </c>
      <c r="G429" s="16" t="s">
        <v>80</v>
      </c>
      <c r="H429" s="20">
        <f>InputData[[#This Row],[Transacted Units]]*InputData[[#This Row],[Transacted Price (per unit)]]</f>
        <v>289.77086627999995</v>
      </c>
      <c r="I429" s="14"/>
    </row>
    <row r="430" spans="1:9" ht="15.75" customHeight="1" x14ac:dyDescent="0.25">
      <c r="A430" s="23" t="s">
        <v>35</v>
      </c>
      <c r="B430" s="15">
        <v>44477</v>
      </c>
      <c r="C430" s="23" t="s">
        <v>5</v>
      </c>
      <c r="D430" s="22">
        <v>25115249</v>
      </c>
      <c r="E430" s="19">
        <v>2.321E-5</v>
      </c>
      <c r="F430" s="19">
        <v>0</v>
      </c>
      <c r="G430" s="16" t="s">
        <v>80</v>
      </c>
      <c r="H430" s="20">
        <f>InputData[[#This Row],[Transacted Units]]*InputData[[#This Row],[Transacted Price (per unit)]]</f>
        <v>582.92492929000002</v>
      </c>
      <c r="I430" s="14"/>
    </row>
    <row r="431" spans="1:9" ht="15.75" customHeight="1" x14ac:dyDescent="0.25">
      <c r="A431" s="23" t="s">
        <v>36</v>
      </c>
      <c r="B431" s="15">
        <v>44417</v>
      </c>
      <c r="C431" s="23" t="s">
        <v>4</v>
      </c>
      <c r="D431" s="22">
        <v>16.164100000000001</v>
      </c>
      <c r="E431" s="19">
        <v>1.3120000000000001</v>
      </c>
      <c r="F431" s="19">
        <v>1.1440000000000001E-2</v>
      </c>
      <c r="G431" s="16" t="s">
        <v>80</v>
      </c>
      <c r="H431" s="20">
        <f>InputData[[#This Row],[Transacted Units]]*InputData[[#This Row],[Transacted Price (per unit)]]</f>
        <v>21.207299200000001</v>
      </c>
      <c r="I431" s="14"/>
    </row>
    <row r="432" spans="1:9" ht="15.75" customHeight="1" x14ac:dyDescent="0.25">
      <c r="A432" s="23" t="s">
        <v>36</v>
      </c>
      <c r="B432" s="15">
        <v>44417</v>
      </c>
      <c r="C432" s="23" t="s">
        <v>5</v>
      </c>
      <c r="D432" s="22">
        <v>16.135899999999999</v>
      </c>
      <c r="E432" s="19">
        <v>1.345</v>
      </c>
      <c r="F432" s="19">
        <v>1.536E-2</v>
      </c>
      <c r="G432" s="16" t="s">
        <v>80</v>
      </c>
      <c r="H432" s="20">
        <f>InputData[[#This Row],[Transacted Units]]*InputData[[#This Row],[Transacted Price (per unit)]]</f>
        <v>21.702785499999997</v>
      </c>
      <c r="I432" s="14"/>
    </row>
    <row r="433" spans="1:9" ht="15.75" customHeight="1" x14ac:dyDescent="0.25">
      <c r="A433" s="16" t="s">
        <v>37</v>
      </c>
      <c r="B433" s="21">
        <v>44508</v>
      </c>
      <c r="C433" s="16" t="s">
        <v>4</v>
      </c>
      <c r="D433" s="17">
        <v>0.8</v>
      </c>
      <c r="E433" s="18">
        <v>17.649000000000001</v>
      </c>
      <c r="F433" s="18">
        <v>8.0000000000000004E-4</v>
      </c>
      <c r="G433" s="16" t="s">
        <v>80</v>
      </c>
      <c r="H433" s="20">
        <f>InputData[[#This Row],[Transacted Units]]*InputData[[#This Row],[Transacted Price (per unit)]]</f>
        <v>14.119200000000001</v>
      </c>
      <c r="I433" s="14"/>
    </row>
    <row r="434" spans="1:9" ht="15.75" customHeight="1" x14ac:dyDescent="0.25">
      <c r="A434" s="16" t="s">
        <v>37</v>
      </c>
      <c r="B434" s="21">
        <v>44508</v>
      </c>
      <c r="C434" s="16" t="s">
        <v>4</v>
      </c>
      <c r="D434" s="17">
        <v>0.8</v>
      </c>
      <c r="E434" s="18">
        <v>17.797000000000001</v>
      </c>
      <c r="F434" s="18">
        <v>8.0000000000000004E-4</v>
      </c>
      <c r="G434" s="16" t="s">
        <v>80</v>
      </c>
      <c r="H434" s="20">
        <f>InputData[[#This Row],[Transacted Units]]*InputData[[#This Row],[Transacted Price (per unit)]]</f>
        <v>14.2376</v>
      </c>
      <c r="I434" s="14"/>
    </row>
    <row r="435" spans="1:9" ht="15.75" customHeight="1" x14ac:dyDescent="0.25">
      <c r="A435" s="16" t="s">
        <v>37</v>
      </c>
      <c r="B435" s="21">
        <v>44508</v>
      </c>
      <c r="C435" s="16" t="s">
        <v>4</v>
      </c>
      <c r="D435" s="17">
        <v>0.8</v>
      </c>
      <c r="E435" s="18">
        <v>17.672000000000001</v>
      </c>
      <c r="F435" s="18">
        <v>8.0000000000000004E-4</v>
      </c>
      <c r="G435" s="16" t="s">
        <v>80</v>
      </c>
      <c r="H435" s="20">
        <f>InputData[[#This Row],[Transacted Units]]*InputData[[#This Row],[Transacted Price (per unit)]]</f>
        <v>14.137600000000001</v>
      </c>
      <c r="I435" s="14"/>
    </row>
    <row r="436" spans="1:9" ht="15.75" customHeight="1" x14ac:dyDescent="0.25">
      <c r="A436" s="16" t="s">
        <v>37</v>
      </c>
      <c r="B436" s="21">
        <v>44508</v>
      </c>
      <c r="C436" s="16" t="s">
        <v>5</v>
      </c>
      <c r="D436" s="17">
        <v>0.8</v>
      </c>
      <c r="E436" s="18">
        <v>18.106000000000002</v>
      </c>
      <c r="F436" s="18">
        <v>1.448E-2</v>
      </c>
      <c r="G436" s="16" t="s">
        <v>80</v>
      </c>
      <c r="H436" s="20">
        <f>InputData[[#This Row],[Transacted Units]]*InputData[[#This Row],[Transacted Price (per unit)]]</f>
        <v>14.484800000000002</v>
      </c>
      <c r="I436" s="14"/>
    </row>
    <row r="437" spans="1:9" ht="15.75" customHeight="1" x14ac:dyDescent="0.25">
      <c r="A437" s="16" t="s">
        <v>37</v>
      </c>
      <c r="B437" s="21">
        <v>44508</v>
      </c>
      <c r="C437" s="16" t="s">
        <v>5</v>
      </c>
      <c r="D437" s="17">
        <v>0.8</v>
      </c>
      <c r="E437" s="18">
        <v>18.106000000000002</v>
      </c>
      <c r="F437" s="18">
        <v>1.448E-2</v>
      </c>
      <c r="G437" s="16" t="s">
        <v>80</v>
      </c>
      <c r="H437" s="20">
        <f>InputData[[#This Row],[Transacted Units]]*InputData[[#This Row],[Transacted Price (per unit)]]</f>
        <v>14.484800000000002</v>
      </c>
      <c r="I437" s="14"/>
    </row>
    <row r="438" spans="1:9" ht="15.75" customHeight="1" x14ac:dyDescent="0.25">
      <c r="A438" s="16" t="s">
        <v>37</v>
      </c>
      <c r="B438" s="21">
        <v>44508</v>
      </c>
      <c r="C438" s="16" t="s">
        <v>5</v>
      </c>
      <c r="D438" s="17">
        <v>0.8</v>
      </c>
      <c r="E438" s="18">
        <v>18.603999999999999</v>
      </c>
      <c r="F438" s="18">
        <v>1.302E-2</v>
      </c>
      <c r="G438" s="16" t="s">
        <v>80</v>
      </c>
      <c r="H438" s="20">
        <f>InputData[[#This Row],[Transacted Units]]*InputData[[#This Row],[Transacted Price (per unit)]]</f>
        <v>14.8832</v>
      </c>
      <c r="I438" s="14"/>
    </row>
    <row r="439" spans="1:9" ht="15.75" customHeight="1" x14ac:dyDescent="0.25">
      <c r="A439" s="16" t="s">
        <v>38</v>
      </c>
      <c r="B439" s="21">
        <v>44544</v>
      </c>
      <c r="C439" s="16" t="s">
        <v>4</v>
      </c>
      <c r="D439" s="17">
        <v>28.5</v>
      </c>
      <c r="E439" s="18">
        <v>0.1</v>
      </c>
      <c r="F439" s="18">
        <v>0.01</v>
      </c>
      <c r="G439" s="16" t="s">
        <v>80</v>
      </c>
      <c r="H439" s="20">
        <f>InputData[[#This Row],[Transacted Units]]*InputData[[#This Row],[Transacted Price (per unit)]]</f>
        <v>2.85</v>
      </c>
      <c r="I439" s="14"/>
    </row>
    <row r="440" spans="1:9" ht="15.75" customHeight="1" x14ac:dyDescent="0.25">
      <c r="A440" s="16" t="s">
        <v>38</v>
      </c>
      <c r="B440" s="21">
        <v>44544</v>
      </c>
      <c r="C440" s="16" t="s">
        <v>5</v>
      </c>
      <c r="D440" s="17">
        <v>28.5</v>
      </c>
      <c r="E440" s="18">
        <v>3.2124103650000002</v>
      </c>
      <c r="F440" s="18">
        <v>1.312085466E-4</v>
      </c>
      <c r="G440" s="16" t="s">
        <v>80</v>
      </c>
      <c r="H440" s="20">
        <f>InputData[[#This Row],[Transacted Units]]*InputData[[#This Row],[Transacted Price (per unit)]]</f>
        <v>91.553695402500011</v>
      </c>
      <c r="I440" s="14"/>
    </row>
    <row r="441" spans="1:9" ht="15.75" customHeight="1" x14ac:dyDescent="0.25">
      <c r="A441" s="16" t="s">
        <v>39</v>
      </c>
      <c r="B441" s="21">
        <v>44505</v>
      </c>
      <c r="C441" s="16" t="s">
        <v>4</v>
      </c>
      <c r="D441" s="17">
        <v>50</v>
      </c>
      <c r="E441" s="18">
        <v>1.6173999999999999</v>
      </c>
      <c r="F441" s="18">
        <v>0.05</v>
      </c>
      <c r="G441" s="16" t="s">
        <v>80</v>
      </c>
      <c r="H441" s="20">
        <f>InputData[[#This Row],[Transacted Units]]*InputData[[#This Row],[Transacted Price (per unit)]]</f>
        <v>80.87</v>
      </c>
      <c r="I441" s="14"/>
    </row>
    <row r="442" spans="1:9" ht="15.75" customHeight="1" x14ac:dyDescent="0.25">
      <c r="A442" s="16" t="s">
        <v>39</v>
      </c>
      <c r="B442" s="21">
        <v>44505</v>
      </c>
      <c r="C442" s="16" t="s">
        <v>4</v>
      </c>
      <c r="D442" s="17">
        <v>25</v>
      </c>
      <c r="E442" s="18">
        <v>1.6238999999999999</v>
      </c>
      <c r="F442" s="18">
        <v>2.5000000000000001E-2</v>
      </c>
      <c r="G442" s="16" t="s">
        <v>80</v>
      </c>
      <c r="H442" s="20">
        <f>InputData[[#This Row],[Transacted Units]]*InputData[[#This Row],[Transacted Price (per unit)]]</f>
        <v>40.597499999999997</v>
      </c>
      <c r="I442" s="14"/>
    </row>
    <row r="443" spans="1:9" ht="15.75" customHeight="1" x14ac:dyDescent="0.25">
      <c r="A443" s="16" t="s">
        <v>39</v>
      </c>
      <c r="B443" s="21">
        <v>44504</v>
      </c>
      <c r="C443" s="16" t="s">
        <v>4</v>
      </c>
      <c r="D443" s="17">
        <v>13</v>
      </c>
      <c r="E443" s="18">
        <v>1.6256999999999999</v>
      </c>
      <c r="F443" s="18">
        <v>1.2999999999999999E-2</v>
      </c>
      <c r="G443" s="16" t="s">
        <v>80</v>
      </c>
      <c r="H443" s="20">
        <f>InputData[[#This Row],[Transacted Units]]*InputData[[#This Row],[Transacted Price (per unit)]]</f>
        <v>21.1341</v>
      </c>
      <c r="I443" s="14"/>
    </row>
    <row r="444" spans="1:9" ht="15.75" customHeight="1" x14ac:dyDescent="0.25">
      <c r="A444" s="16" t="s">
        <v>39</v>
      </c>
      <c r="B444" s="21">
        <v>44504</v>
      </c>
      <c r="C444" s="16" t="s">
        <v>4</v>
      </c>
      <c r="D444" s="17">
        <v>26</v>
      </c>
      <c r="E444" s="18">
        <v>1.6116999999999999</v>
      </c>
      <c r="F444" s="18">
        <v>2.5999999999999999E-2</v>
      </c>
      <c r="G444" s="16" t="s">
        <v>80</v>
      </c>
      <c r="H444" s="20">
        <f>InputData[[#This Row],[Transacted Units]]*InputData[[#This Row],[Transacted Price (per unit)]]</f>
        <v>41.904199999999996</v>
      </c>
      <c r="I444" s="14"/>
    </row>
    <row r="445" spans="1:9" ht="15.75" customHeight="1" x14ac:dyDescent="0.25">
      <c r="A445" s="16" t="s">
        <v>39</v>
      </c>
      <c r="B445" s="21">
        <v>44504</v>
      </c>
      <c r="C445" s="16" t="s">
        <v>4</v>
      </c>
      <c r="D445" s="17">
        <v>100</v>
      </c>
      <c r="E445" s="18">
        <v>1.6116999999999999</v>
      </c>
      <c r="F445" s="18">
        <v>0.1</v>
      </c>
      <c r="G445" s="16" t="s">
        <v>80</v>
      </c>
      <c r="H445" s="20">
        <f>InputData[[#This Row],[Transacted Units]]*InputData[[#This Row],[Transacted Price (per unit)]]</f>
        <v>161.16999999999999</v>
      </c>
      <c r="I445" s="14"/>
    </row>
    <row r="446" spans="1:9" ht="15.75" customHeight="1" x14ac:dyDescent="0.25">
      <c r="A446" s="16" t="s">
        <v>39</v>
      </c>
      <c r="B446" s="21">
        <v>44504</v>
      </c>
      <c r="C446" s="16" t="s">
        <v>4</v>
      </c>
      <c r="D446" s="17">
        <v>216</v>
      </c>
      <c r="E446" s="18">
        <v>1.6057999999999999</v>
      </c>
      <c r="F446" s="18">
        <v>0.216</v>
      </c>
      <c r="G446" s="16" t="s">
        <v>80</v>
      </c>
      <c r="H446" s="20">
        <f>InputData[[#This Row],[Transacted Units]]*InputData[[#This Row],[Transacted Price (per unit)]]</f>
        <v>346.8528</v>
      </c>
      <c r="I446" s="14"/>
    </row>
    <row r="447" spans="1:9" ht="15.75" customHeight="1" x14ac:dyDescent="0.25">
      <c r="A447" s="16" t="s">
        <v>39</v>
      </c>
      <c r="B447" s="21">
        <v>44504</v>
      </c>
      <c r="C447" s="16" t="s">
        <v>4</v>
      </c>
      <c r="D447" s="17">
        <v>100</v>
      </c>
      <c r="E447" s="18">
        <v>1.6057999999999999</v>
      </c>
      <c r="F447" s="18">
        <v>0.1</v>
      </c>
      <c r="G447" s="16" t="s">
        <v>80</v>
      </c>
      <c r="H447" s="20">
        <f>InputData[[#This Row],[Transacted Units]]*InputData[[#This Row],[Transacted Price (per unit)]]</f>
        <v>160.57999999999998</v>
      </c>
      <c r="I447" s="14"/>
    </row>
    <row r="448" spans="1:9" ht="15.75" customHeight="1" x14ac:dyDescent="0.25">
      <c r="A448" s="16" t="s">
        <v>39</v>
      </c>
      <c r="B448" s="21">
        <v>44504</v>
      </c>
      <c r="C448" s="16" t="s">
        <v>4</v>
      </c>
      <c r="D448" s="17">
        <v>206</v>
      </c>
      <c r="E448" s="18">
        <v>1.6402000000000001</v>
      </c>
      <c r="F448" s="18">
        <v>0.20599999999999999</v>
      </c>
      <c r="G448" s="16" t="s">
        <v>80</v>
      </c>
      <c r="H448" s="20">
        <f>InputData[[#This Row],[Transacted Units]]*InputData[[#This Row],[Transacted Price (per unit)]]</f>
        <v>337.88120000000004</v>
      </c>
      <c r="I448" s="14"/>
    </row>
    <row r="449" spans="1:9" ht="15.75" customHeight="1" x14ac:dyDescent="0.25">
      <c r="A449" s="16" t="s">
        <v>39</v>
      </c>
      <c r="B449" s="21">
        <v>44504</v>
      </c>
      <c r="C449" s="16" t="s">
        <v>4</v>
      </c>
      <c r="D449" s="17">
        <v>136</v>
      </c>
      <c r="E449" s="18">
        <v>1.6584000000000001</v>
      </c>
      <c r="F449" s="18">
        <v>0.13600000000000001</v>
      </c>
      <c r="G449" s="16" t="s">
        <v>80</v>
      </c>
      <c r="H449" s="20">
        <f>InputData[[#This Row],[Transacted Units]]*InputData[[#This Row],[Transacted Price (per unit)]]</f>
        <v>225.54240000000001</v>
      </c>
      <c r="I449" s="14"/>
    </row>
    <row r="450" spans="1:9" ht="15.75" customHeight="1" x14ac:dyDescent="0.25">
      <c r="A450" s="16" t="s">
        <v>39</v>
      </c>
      <c r="B450" s="21">
        <v>44504</v>
      </c>
      <c r="C450" s="16" t="s">
        <v>4</v>
      </c>
      <c r="D450" s="17">
        <v>90</v>
      </c>
      <c r="E450" s="18">
        <v>1.6678999999999999</v>
      </c>
      <c r="F450" s="18">
        <v>0.09</v>
      </c>
      <c r="G450" s="16" t="s">
        <v>80</v>
      </c>
      <c r="H450" s="20">
        <f>InputData[[#This Row],[Transacted Units]]*InputData[[#This Row],[Transacted Price (per unit)]]</f>
        <v>150.11099999999999</v>
      </c>
      <c r="I450" s="14"/>
    </row>
    <row r="451" spans="1:9" ht="15.75" customHeight="1" x14ac:dyDescent="0.25">
      <c r="A451" s="16" t="s">
        <v>39</v>
      </c>
      <c r="B451" s="21">
        <v>44504</v>
      </c>
      <c r="C451" s="16" t="s">
        <v>4</v>
      </c>
      <c r="D451" s="17">
        <v>45</v>
      </c>
      <c r="E451" s="18">
        <v>1.6713</v>
      </c>
      <c r="F451" s="18">
        <v>4.4999999999999998E-2</v>
      </c>
      <c r="G451" s="16" t="s">
        <v>80</v>
      </c>
      <c r="H451" s="20">
        <f>InputData[[#This Row],[Transacted Units]]*InputData[[#This Row],[Transacted Price (per unit)]]</f>
        <v>75.208500000000001</v>
      </c>
      <c r="I451" s="14"/>
    </row>
    <row r="452" spans="1:9" ht="15.75" customHeight="1" x14ac:dyDescent="0.25">
      <c r="A452" s="16" t="s">
        <v>39</v>
      </c>
      <c r="B452" s="21">
        <v>44504</v>
      </c>
      <c r="C452" s="16" t="s">
        <v>4</v>
      </c>
      <c r="D452" s="17">
        <v>46</v>
      </c>
      <c r="E452" s="18">
        <v>1.6480999999999999</v>
      </c>
      <c r="F452" s="18">
        <v>4.5999999999999999E-2</v>
      </c>
      <c r="G452" s="16" t="s">
        <v>80</v>
      </c>
      <c r="H452" s="20">
        <f>InputData[[#This Row],[Transacted Units]]*InputData[[#This Row],[Transacted Price (per unit)]]</f>
        <v>75.812599999999989</v>
      </c>
      <c r="I452" s="14"/>
    </row>
    <row r="453" spans="1:9" ht="15.75" customHeight="1" x14ac:dyDescent="0.25">
      <c r="A453" s="16" t="s">
        <v>39</v>
      </c>
      <c r="B453" s="21">
        <v>44504</v>
      </c>
      <c r="C453" s="16" t="s">
        <v>4</v>
      </c>
      <c r="D453" s="17">
        <v>209</v>
      </c>
      <c r="E453" s="18">
        <v>1.6214</v>
      </c>
      <c r="F453" s="18">
        <v>0.20899999999999999</v>
      </c>
      <c r="G453" s="16" t="s">
        <v>80</v>
      </c>
      <c r="H453" s="20">
        <f>InputData[[#This Row],[Transacted Units]]*InputData[[#This Row],[Transacted Price (per unit)]]</f>
        <v>338.87259999999998</v>
      </c>
      <c r="I453" s="14"/>
    </row>
    <row r="454" spans="1:9" ht="15.75" customHeight="1" x14ac:dyDescent="0.25">
      <c r="A454" s="16" t="s">
        <v>39</v>
      </c>
      <c r="B454" s="21">
        <v>44504</v>
      </c>
      <c r="C454" s="16" t="s">
        <v>4</v>
      </c>
      <c r="D454" s="17">
        <v>138</v>
      </c>
      <c r="E454" s="18">
        <v>1.6393</v>
      </c>
      <c r="F454" s="18">
        <v>0.13800000000000001</v>
      </c>
      <c r="G454" s="16" t="s">
        <v>80</v>
      </c>
      <c r="H454" s="20">
        <f>InputData[[#This Row],[Transacted Units]]*InputData[[#This Row],[Transacted Price (per unit)]]</f>
        <v>226.2234</v>
      </c>
      <c r="I454" s="14"/>
    </row>
    <row r="455" spans="1:9" ht="15.75" customHeight="1" x14ac:dyDescent="0.25">
      <c r="A455" s="16" t="s">
        <v>39</v>
      </c>
      <c r="B455" s="21">
        <v>44504</v>
      </c>
      <c r="C455" s="16" t="s">
        <v>4</v>
      </c>
      <c r="D455" s="17">
        <v>25</v>
      </c>
      <c r="E455" s="18">
        <v>1.6487000000000001</v>
      </c>
      <c r="F455" s="18">
        <v>2.5000000000000001E-2</v>
      </c>
      <c r="G455" s="16" t="s">
        <v>80</v>
      </c>
      <c r="H455" s="20">
        <f>InputData[[#This Row],[Transacted Units]]*InputData[[#This Row],[Transacted Price (per unit)]]</f>
        <v>41.217500000000001</v>
      </c>
      <c r="I455" s="14"/>
    </row>
    <row r="456" spans="1:9" ht="15.75" customHeight="1" x14ac:dyDescent="0.25">
      <c r="A456" s="16" t="s">
        <v>39</v>
      </c>
      <c r="B456" s="21">
        <v>44504</v>
      </c>
      <c r="C456" s="16" t="s">
        <v>4</v>
      </c>
      <c r="D456" s="17">
        <v>34</v>
      </c>
      <c r="E456" s="18">
        <v>1.6487000000000001</v>
      </c>
      <c r="F456" s="18">
        <v>3.4000000000000002E-2</v>
      </c>
      <c r="G456" s="16" t="s">
        <v>80</v>
      </c>
      <c r="H456" s="20">
        <f>InputData[[#This Row],[Transacted Units]]*InputData[[#This Row],[Transacted Price (per unit)]]</f>
        <v>56.055800000000005</v>
      </c>
      <c r="I456" s="14"/>
    </row>
    <row r="457" spans="1:9" ht="15.75" customHeight="1" x14ac:dyDescent="0.25">
      <c r="A457" s="16" t="s">
        <v>39</v>
      </c>
      <c r="B457" s="21">
        <v>44504</v>
      </c>
      <c r="C457" s="16" t="s">
        <v>4</v>
      </c>
      <c r="D457" s="17">
        <v>32</v>
      </c>
      <c r="E457" s="18">
        <v>1.6487000000000001</v>
      </c>
      <c r="F457" s="18">
        <v>3.2000000000000001E-2</v>
      </c>
      <c r="G457" s="16" t="s">
        <v>80</v>
      </c>
      <c r="H457" s="20">
        <f>InputData[[#This Row],[Transacted Units]]*InputData[[#This Row],[Transacted Price (per unit)]]</f>
        <v>52.758400000000002</v>
      </c>
      <c r="I457" s="14"/>
    </row>
    <row r="458" spans="1:9" ht="15.75" customHeight="1" x14ac:dyDescent="0.25">
      <c r="A458" s="16" t="s">
        <v>39</v>
      </c>
      <c r="B458" s="21">
        <v>44504</v>
      </c>
      <c r="C458" s="16" t="s">
        <v>4</v>
      </c>
      <c r="D458" s="17">
        <v>46</v>
      </c>
      <c r="E458" s="18">
        <v>1.6520999999999999</v>
      </c>
      <c r="F458" s="18">
        <v>4.5999999999999999E-2</v>
      </c>
      <c r="G458" s="16" t="s">
        <v>80</v>
      </c>
      <c r="H458" s="20">
        <f>InputData[[#This Row],[Transacted Units]]*InputData[[#This Row],[Transacted Price (per unit)]]</f>
        <v>75.996600000000001</v>
      </c>
      <c r="I458" s="14"/>
    </row>
    <row r="459" spans="1:9" ht="15.75" customHeight="1" x14ac:dyDescent="0.25">
      <c r="A459" s="16" t="s">
        <v>39</v>
      </c>
      <c r="B459" s="21">
        <v>44503</v>
      </c>
      <c r="C459" s="16" t="s">
        <v>4</v>
      </c>
      <c r="D459" s="17">
        <v>210</v>
      </c>
      <c r="E459" s="18">
        <v>1.6116999999999999</v>
      </c>
      <c r="F459" s="18">
        <v>0.21</v>
      </c>
      <c r="G459" s="16" t="s">
        <v>80</v>
      </c>
      <c r="H459" s="20">
        <f>InputData[[#This Row],[Transacted Units]]*InputData[[#This Row],[Transacted Price (per unit)]]</f>
        <v>338.45699999999999</v>
      </c>
      <c r="I459" s="14"/>
    </row>
    <row r="460" spans="1:9" ht="15.75" customHeight="1" x14ac:dyDescent="0.25">
      <c r="A460" s="16" t="s">
        <v>39</v>
      </c>
      <c r="B460" s="21">
        <v>44503</v>
      </c>
      <c r="C460" s="16" t="s">
        <v>4</v>
      </c>
      <c r="D460" s="17">
        <v>139</v>
      </c>
      <c r="E460" s="18">
        <v>1.6294999999999999</v>
      </c>
      <c r="F460" s="18">
        <v>0.13900000000000001</v>
      </c>
      <c r="G460" s="16" t="s">
        <v>80</v>
      </c>
      <c r="H460" s="20">
        <f>InputData[[#This Row],[Transacted Units]]*InputData[[#This Row],[Transacted Price (per unit)]]</f>
        <v>226.50049999999999</v>
      </c>
      <c r="I460" s="14"/>
    </row>
    <row r="461" spans="1:9" ht="15.75" customHeight="1" x14ac:dyDescent="0.25">
      <c r="A461" s="16" t="s">
        <v>39</v>
      </c>
      <c r="B461" s="21">
        <v>44503</v>
      </c>
      <c r="C461" s="16" t="s">
        <v>4</v>
      </c>
      <c r="D461" s="17">
        <v>92</v>
      </c>
      <c r="E461" s="18">
        <v>1.6389</v>
      </c>
      <c r="F461" s="18">
        <v>9.1999999999999998E-2</v>
      </c>
      <c r="G461" s="16" t="s">
        <v>80</v>
      </c>
      <c r="H461" s="20">
        <f>InputData[[#This Row],[Transacted Units]]*InputData[[#This Row],[Transacted Price (per unit)]]</f>
        <v>150.77879999999999</v>
      </c>
      <c r="I461" s="14"/>
    </row>
    <row r="462" spans="1:9" ht="15.75" customHeight="1" x14ac:dyDescent="0.25">
      <c r="A462" s="16" t="s">
        <v>39</v>
      </c>
      <c r="B462" s="21">
        <v>44503</v>
      </c>
      <c r="C462" s="16" t="s">
        <v>4</v>
      </c>
      <c r="D462" s="17">
        <v>46</v>
      </c>
      <c r="E462" s="18">
        <v>1.6422000000000001</v>
      </c>
      <c r="F462" s="18">
        <v>4.5999999999999999E-2</v>
      </c>
      <c r="G462" s="16" t="s">
        <v>80</v>
      </c>
      <c r="H462" s="20">
        <f>InputData[[#This Row],[Transacted Units]]*InputData[[#This Row],[Transacted Price (per unit)]]</f>
        <v>75.541200000000003</v>
      </c>
      <c r="I462" s="14"/>
    </row>
    <row r="463" spans="1:9" ht="15.75" customHeight="1" x14ac:dyDescent="0.25">
      <c r="A463" s="16" t="s">
        <v>39</v>
      </c>
      <c r="B463" s="21">
        <v>44503</v>
      </c>
      <c r="C463" s="16" t="s">
        <v>4</v>
      </c>
      <c r="D463" s="17">
        <v>251</v>
      </c>
      <c r="E463" s="18">
        <v>1.5884</v>
      </c>
      <c r="F463" s="18">
        <v>0.251</v>
      </c>
      <c r="G463" s="16" t="s">
        <v>80</v>
      </c>
      <c r="H463" s="20">
        <f>InputData[[#This Row],[Transacted Units]]*InputData[[#This Row],[Transacted Price (per unit)]]</f>
        <v>398.6884</v>
      </c>
      <c r="I463" s="14"/>
    </row>
    <row r="464" spans="1:9" ht="15.75" customHeight="1" x14ac:dyDescent="0.25">
      <c r="A464" s="16" t="s">
        <v>39</v>
      </c>
      <c r="B464" s="21">
        <v>44503</v>
      </c>
      <c r="C464" s="16" t="s">
        <v>4</v>
      </c>
      <c r="D464" s="17">
        <v>68</v>
      </c>
      <c r="E464" s="18">
        <v>1.5884</v>
      </c>
      <c r="F464" s="18">
        <v>6.8000000000000005E-2</v>
      </c>
      <c r="G464" s="16" t="s">
        <v>80</v>
      </c>
      <c r="H464" s="20">
        <f>InputData[[#This Row],[Transacted Units]]*InputData[[#This Row],[Transacted Price (per unit)]]</f>
        <v>108.0112</v>
      </c>
      <c r="I464" s="14"/>
    </row>
    <row r="465" spans="1:9" ht="15.75" customHeight="1" x14ac:dyDescent="0.25">
      <c r="A465" s="16" t="s">
        <v>39</v>
      </c>
      <c r="B465" s="21">
        <v>44503</v>
      </c>
      <c r="C465" s="16" t="s">
        <v>4</v>
      </c>
      <c r="D465" s="17">
        <v>127</v>
      </c>
      <c r="E465" s="18">
        <v>1.6225000000000001</v>
      </c>
      <c r="F465" s="18">
        <v>0.127</v>
      </c>
      <c r="G465" s="16" t="s">
        <v>80</v>
      </c>
      <c r="H465" s="20">
        <f>InputData[[#This Row],[Transacted Units]]*InputData[[#This Row],[Transacted Price (per unit)]]</f>
        <v>206.0575</v>
      </c>
      <c r="I465" s="14"/>
    </row>
    <row r="466" spans="1:9" ht="15.75" customHeight="1" x14ac:dyDescent="0.25">
      <c r="A466" s="16" t="s">
        <v>39</v>
      </c>
      <c r="B466" s="21">
        <v>44503</v>
      </c>
      <c r="C466" s="16" t="s">
        <v>4</v>
      </c>
      <c r="D466" s="17">
        <v>82</v>
      </c>
      <c r="E466" s="18">
        <v>1.6225000000000001</v>
      </c>
      <c r="F466" s="18">
        <v>8.2000000000000003E-2</v>
      </c>
      <c r="G466" s="16" t="s">
        <v>80</v>
      </c>
      <c r="H466" s="20">
        <f>InputData[[#This Row],[Transacted Units]]*InputData[[#This Row],[Transacted Price (per unit)]]</f>
        <v>133.04500000000002</v>
      </c>
      <c r="I466" s="14"/>
    </row>
    <row r="467" spans="1:9" ht="15.75" customHeight="1" x14ac:dyDescent="0.25">
      <c r="A467" s="16" t="s">
        <v>39</v>
      </c>
      <c r="B467" s="21">
        <v>44503</v>
      </c>
      <c r="C467" s="16" t="s">
        <v>4</v>
      </c>
      <c r="D467" s="17">
        <v>138</v>
      </c>
      <c r="E467" s="18">
        <v>1.6404000000000001</v>
      </c>
      <c r="F467" s="18">
        <v>0.13800000000000001</v>
      </c>
      <c r="G467" s="16" t="s">
        <v>80</v>
      </c>
      <c r="H467" s="20">
        <f>InputData[[#This Row],[Transacted Units]]*InputData[[#This Row],[Transacted Price (per unit)]]</f>
        <v>226.37520000000001</v>
      </c>
      <c r="I467" s="14"/>
    </row>
    <row r="468" spans="1:9" ht="15.75" customHeight="1" x14ac:dyDescent="0.25">
      <c r="A468" s="16" t="s">
        <v>39</v>
      </c>
      <c r="B468" s="21">
        <v>44503</v>
      </c>
      <c r="C468" s="16" t="s">
        <v>4</v>
      </c>
      <c r="D468" s="17">
        <v>91</v>
      </c>
      <c r="E468" s="18">
        <v>1.6497999999999999</v>
      </c>
      <c r="F468" s="18">
        <v>9.0999999999999998E-2</v>
      </c>
      <c r="G468" s="16" t="s">
        <v>80</v>
      </c>
      <c r="H468" s="20">
        <f>InputData[[#This Row],[Transacted Units]]*InputData[[#This Row],[Transacted Price (per unit)]]</f>
        <v>150.1318</v>
      </c>
      <c r="I468" s="14"/>
    </row>
    <row r="469" spans="1:9" ht="15.75" customHeight="1" x14ac:dyDescent="0.25">
      <c r="A469" s="16" t="s">
        <v>39</v>
      </c>
      <c r="B469" s="21">
        <v>44503</v>
      </c>
      <c r="C469" s="16" t="s">
        <v>4</v>
      </c>
      <c r="D469" s="17">
        <v>46</v>
      </c>
      <c r="E469" s="18">
        <v>1.6532</v>
      </c>
      <c r="F469" s="18">
        <v>4.5999999999999999E-2</v>
      </c>
      <c r="G469" s="16" t="s">
        <v>80</v>
      </c>
      <c r="H469" s="20">
        <f>InputData[[#This Row],[Transacted Units]]*InputData[[#This Row],[Transacted Price (per unit)]]</f>
        <v>76.047200000000004</v>
      </c>
      <c r="I469" s="14"/>
    </row>
    <row r="470" spans="1:9" ht="15.75" customHeight="1" x14ac:dyDescent="0.25">
      <c r="A470" s="16" t="s">
        <v>39</v>
      </c>
      <c r="B470" s="21">
        <v>44503</v>
      </c>
      <c r="C470" s="16" t="s">
        <v>4</v>
      </c>
      <c r="D470" s="17">
        <v>138</v>
      </c>
      <c r="E470" s="18">
        <v>1.6354</v>
      </c>
      <c r="F470" s="18">
        <v>0.13800000000000001</v>
      </c>
      <c r="G470" s="16" t="s">
        <v>80</v>
      </c>
      <c r="H470" s="20">
        <f>InputData[[#This Row],[Transacted Units]]*InputData[[#This Row],[Transacted Price (per unit)]]</f>
        <v>225.68520000000001</v>
      </c>
      <c r="I470" s="14"/>
    </row>
    <row r="471" spans="1:9" ht="15.75" customHeight="1" x14ac:dyDescent="0.25">
      <c r="A471" s="16" t="s">
        <v>39</v>
      </c>
      <c r="B471" s="21">
        <v>44503</v>
      </c>
      <c r="C471" s="16" t="s">
        <v>4</v>
      </c>
      <c r="D471" s="17">
        <v>92</v>
      </c>
      <c r="E471" s="18">
        <v>1.6448</v>
      </c>
      <c r="F471" s="18">
        <v>9.1999999999999998E-2</v>
      </c>
      <c r="G471" s="16" t="s">
        <v>80</v>
      </c>
      <c r="H471" s="20">
        <f>InputData[[#This Row],[Transacted Units]]*InputData[[#This Row],[Transacted Price (per unit)]]</f>
        <v>151.32159999999999</v>
      </c>
      <c r="I471" s="14"/>
    </row>
    <row r="472" spans="1:9" ht="15.75" customHeight="1" x14ac:dyDescent="0.25">
      <c r="A472" s="16" t="s">
        <v>39</v>
      </c>
      <c r="B472" s="21">
        <v>44503</v>
      </c>
      <c r="C472" s="16" t="s">
        <v>4</v>
      </c>
      <c r="D472" s="17">
        <v>5</v>
      </c>
      <c r="E472" s="18">
        <v>1.6485000000000001</v>
      </c>
      <c r="F472" s="18">
        <v>5.0000000000000001E-3</v>
      </c>
      <c r="G472" s="16" t="s">
        <v>80</v>
      </c>
      <c r="H472" s="20">
        <f>InputData[[#This Row],[Transacted Units]]*InputData[[#This Row],[Transacted Price (per unit)]]</f>
        <v>8.2424999999999997</v>
      </c>
      <c r="I472" s="14"/>
    </row>
    <row r="473" spans="1:9" ht="15.75" customHeight="1" x14ac:dyDescent="0.25">
      <c r="A473" s="16" t="s">
        <v>39</v>
      </c>
      <c r="B473" s="21">
        <v>44503</v>
      </c>
      <c r="C473" s="16" t="s">
        <v>4</v>
      </c>
      <c r="D473" s="17">
        <v>41</v>
      </c>
      <c r="E473" s="18">
        <v>1.6480999999999999</v>
      </c>
      <c r="F473" s="18">
        <v>4.1000000000000002E-2</v>
      </c>
      <c r="G473" s="16" t="s">
        <v>80</v>
      </c>
      <c r="H473" s="20">
        <f>InputData[[#This Row],[Transacted Units]]*InputData[[#This Row],[Transacted Price (per unit)]]</f>
        <v>67.572099999999992</v>
      </c>
      <c r="I473" s="14"/>
    </row>
    <row r="474" spans="1:9" ht="15.75" customHeight="1" x14ac:dyDescent="0.25">
      <c r="A474" s="16" t="s">
        <v>39</v>
      </c>
      <c r="B474" s="21">
        <v>44503</v>
      </c>
      <c r="C474" s="16" t="s">
        <v>4</v>
      </c>
      <c r="D474" s="17">
        <v>93</v>
      </c>
      <c r="E474" s="18">
        <v>1.6243000000000001</v>
      </c>
      <c r="F474" s="18">
        <v>9.2999999999999999E-2</v>
      </c>
      <c r="G474" s="16" t="s">
        <v>80</v>
      </c>
      <c r="H474" s="20">
        <f>InputData[[#This Row],[Transacted Units]]*InputData[[#This Row],[Transacted Price (per unit)]]</f>
        <v>151.0599</v>
      </c>
      <c r="I474" s="14"/>
    </row>
    <row r="475" spans="1:9" ht="15.75" customHeight="1" x14ac:dyDescent="0.25">
      <c r="A475" s="16" t="s">
        <v>39</v>
      </c>
      <c r="B475" s="21">
        <v>44503</v>
      </c>
      <c r="C475" s="16" t="s">
        <v>4</v>
      </c>
      <c r="D475" s="17">
        <v>19</v>
      </c>
      <c r="E475" s="18">
        <v>1.6276999999999999</v>
      </c>
      <c r="F475" s="18">
        <v>1.9E-2</v>
      </c>
      <c r="G475" s="16" t="s">
        <v>80</v>
      </c>
      <c r="H475" s="20">
        <f>InputData[[#This Row],[Transacted Units]]*InputData[[#This Row],[Transacted Price (per unit)]]</f>
        <v>30.926299999999998</v>
      </c>
      <c r="I475" s="14"/>
    </row>
    <row r="476" spans="1:9" ht="15.75" customHeight="1" x14ac:dyDescent="0.25">
      <c r="A476" s="16" t="s">
        <v>39</v>
      </c>
      <c r="B476" s="21">
        <v>44503</v>
      </c>
      <c r="C476" s="16" t="s">
        <v>4</v>
      </c>
      <c r="D476" s="17">
        <v>28</v>
      </c>
      <c r="E476" s="18">
        <v>1.6275999999999999</v>
      </c>
      <c r="F476" s="18">
        <v>2.8000000000000001E-2</v>
      </c>
      <c r="G476" s="16" t="s">
        <v>80</v>
      </c>
      <c r="H476" s="20">
        <f>InputData[[#This Row],[Transacted Units]]*InputData[[#This Row],[Transacted Price (per unit)]]</f>
        <v>45.572800000000001</v>
      </c>
      <c r="I476" s="14"/>
    </row>
    <row r="477" spans="1:9" ht="15.75" customHeight="1" x14ac:dyDescent="0.25">
      <c r="A477" s="16" t="s">
        <v>39</v>
      </c>
      <c r="B477" s="21">
        <v>44503</v>
      </c>
      <c r="C477" s="16" t="s">
        <v>4</v>
      </c>
      <c r="D477" s="17">
        <v>94</v>
      </c>
      <c r="E477" s="18">
        <v>1.6004</v>
      </c>
      <c r="F477" s="18">
        <v>9.4E-2</v>
      </c>
      <c r="G477" s="16" t="s">
        <v>80</v>
      </c>
      <c r="H477" s="20">
        <f>InputData[[#This Row],[Transacted Units]]*InputData[[#This Row],[Transacted Price (per unit)]]</f>
        <v>150.4376</v>
      </c>
      <c r="I477" s="14"/>
    </row>
    <row r="478" spans="1:9" ht="15.75" customHeight="1" x14ac:dyDescent="0.25">
      <c r="A478" s="16" t="s">
        <v>39</v>
      </c>
      <c r="B478" s="21">
        <v>44503</v>
      </c>
      <c r="C478" s="16" t="s">
        <v>4</v>
      </c>
      <c r="D478" s="17">
        <v>47</v>
      </c>
      <c r="E478" s="18">
        <v>1.6036999999999999</v>
      </c>
      <c r="F478" s="18">
        <v>4.7E-2</v>
      </c>
      <c r="G478" s="16" t="s">
        <v>80</v>
      </c>
      <c r="H478" s="20">
        <f>InputData[[#This Row],[Transacted Units]]*InputData[[#This Row],[Transacted Price (per unit)]]</f>
        <v>75.373899999999992</v>
      </c>
      <c r="I478" s="14"/>
    </row>
    <row r="479" spans="1:9" ht="15.75" customHeight="1" x14ac:dyDescent="0.25">
      <c r="A479" s="16" t="s">
        <v>39</v>
      </c>
      <c r="B479" s="21">
        <v>44503</v>
      </c>
      <c r="C479" s="16" t="s">
        <v>4</v>
      </c>
      <c r="D479" s="17">
        <v>143</v>
      </c>
      <c r="E479" s="18">
        <v>1.5781000000000001</v>
      </c>
      <c r="F479" s="18">
        <v>0.14299999999999999</v>
      </c>
      <c r="G479" s="16" t="s">
        <v>80</v>
      </c>
      <c r="H479" s="20">
        <f>InputData[[#This Row],[Transacted Units]]*InputData[[#This Row],[Transacted Price (per unit)]]</f>
        <v>225.66830000000002</v>
      </c>
      <c r="I479" s="14"/>
    </row>
    <row r="480" spans="1:9" ht="15.75" customHeight="1" x14ac:dyDescent="0.25">
      <c r="A480" s="16" t="s">
        <v>39</v>
      </c>
      <c r="B480" s="21">
        <v>44503</v>
      </c>
      <c r="C480" s="16" t="s">
        <v>4</v>
      </c>
      <c r="D480" s="17">
        <v>95</v>
      </c>
      <c r="E480" s="18">
        <v>1.5871999999999999</v>
      </c>
      <c r="F480" s="18">
        <v>9.5000000000000001E-2</v>
      </c>
      <c r="G480" s="16" t="s">
        <v>80</v>
      </c>
      <c r="H480" s="20">
        <f>InputData[[#This Row],[Transacted Units]]*InputData[[#This Row],[Transacted Price (per unit)]]</f>
        <v>150.78399999999999</v>
      </c>
      <c r="I480" s="14"/>
    </row>
    <row r="481" spans="1:9" ht="15.75" customHeight="1" x14ac:dyDescent="0.25">
      <c r="A481" s="16" t="s">
        <v>39</v>
      </c>
      <c r="B481" s="21">
        <v>44503</v>
      </c>
      <c r="C481" s="16" t="s">
        <v>4</v>
      </c>
      <c r="D481" s="17">
        <v>48</v>
      </c>
      <c r="E481" s="18">
        <v>1.5904</v>
      </c>
      <c r="F481" s="18">
        <v>4.8000000000000001E-2</v>
      </c>
      <c r="G481" s="16" t="s">
        <v>80</v>
      </c>
      <c r="H481" s="20">
        <f>InputData[[#This Row],[Transacted Units]]*InputData[[#This Row],[Transacted Price (per unit)]]</f>
        <v>76.339200000000005</v>
      </c>
      <c r="I481" s="14"/>
    </row>
    <row r="482" spans="1:9" ht="15.75" customHeight="1" x14ac:dyDescent="0.25">
      <c r="A482" s="16" t="s">
        <v>39</v>
      </c>
      <c r="B482" s="21">
        <v>44503</v>
      </c>
      <c r="C482" s="16" t="s">
        <v>4</v>
      </c>
      <c r="D482" s="17">
        <v>48</v>
      </c>
      <c r="E482" s="18">
        <v>1.5728</v>
      </c>
      <c r="F482" s="18">
        <v>4.8000000000000001E-2</v>
      </c>
      <c r="G482" s="16" t="s">
        <v>80</v>
      </c>
      <c r="H482" s="20">
        <f>InputData[[#This Row],[Transacted Units]]*InputData[[#This Row],[Transacted Price (per unit)]]</f>
        <v>75.494399999999999</v>
      </c>
      <c r="I482" s="14"/>
    </row>
    <row r="483" spans="1:9" ht="15.75" customHeight="1" x14ac:dyDescent="0.25">
      <c r="A483" s="16" t="s">
        <v>39</v>
      </c>
      <c r="B483" s="21">
        <v>44503</v>
      </c>
      <c r="C483" s="16" t="s">
        <v>4</v>
      </c>
      <c r="D483" s="17">
        <v>98</v>
      </c>
      <c r="E483" s="18">
        <v>1.5448</v>
      </c>
      <c r="F483" s="18">
        <v>9.8000000000000004E-2</v>
      </c>
      <c r="G483" s="16" t="s">
        <v>80</v>
      </c>
      <c r="H483" s="20">
        <f>InputData[[#This Row],[Transacted Units]]*InputData[[#This Row],[Transacted Price (per unit)]]</f>
        <v>151.3904</v>
      </c>
      <c r="I483" s="14"/>
    </row>
    <row r="484" spans="1:9" ht="15.75" customHeight="1" x14ac:dyDescent="0.25">
      <c r="A484" s="16" t="s">
        <v>39</v>
      </c>
      <c r="B484" s="21">
        <v>44503</v>
      </c>
      <c r="C484" s="16" t="s">
        <v>4</v>
      </c>
      <c r="D484" s="17">
        <v>49</v>
      </c>
      <c r="E484" s="18">
        <v>1.5479000000000001</v>
      </c>
      <c r="F484" s="18">
        <v>4.9000000000000002E-2</v>
      </c>
      <c r="G484" s="16" t="s">
        <v>80</v>
      </c>
      <c r="H484" s="20">
        <f>InputData[[#This Row],[Transacted Units]]*InputData[[#This Row],[Transacted Price (per unit)]]</f>
        <v>75.847099999999998</v>
      </c>
      <c r="I484" s="14"/>
    </row>
    <row r="485" spans="1:9" ht="15.75" customHeight="1" x14ac:dyDescent="0.25">
      <c r="A485" s="16" t="s">
        <v>39</v>
      </c>
      <c r="B485" s="21">
        <v>44502</v>
      </c>
      <c r="C485" s="16" t="s">
        <v>4</v>
      </c>
      <c r="D485" s="17">
        <v>148</v>
      </c>
      <c r="E485" s="18">
        <v>1.5214000000000001</v>
      </c>
      <c r="F485" s="18">
        <v>0.14799999999999999</v>
      </c>
      <c r="G485" s="16" t="s">
        <v>80</v>
      </c>
      <c r="H485" s="20">
        <f>InputData[[#This Row],[Transacted Units]]*InputData[[#This Row],[Transacted Price (per unit)]]</f>
        <v>225.16720000000001</v>
      </c>
      <c r="I485" s="14"/>
    </row>
    <row r="486" spans="1:9" ht="15.75" customHeight="1" x14ac:dyDescent="0.25">
      <c r="A486" s="16" t="s">
        <v>39</v>
      </c>
      <c r="B486" s="21">
        <v>44502</v>
      </c>
      <c r="C486" s="16" t="s">
        <v>4</v>
      </c>
      <c r="D486" s="17">
        <v>99</v>
      </c>
      <c r="E486" s="18">
        <v>1.5301</v>
      </c>
      <c r="F486" s="18">
        <v>9.9000000000000005E-2</v>
      </c>
      <c r="G486" s="16" t="s">
        <v>80</v>
      </c>
      <c r="H486" s="20">
        <f>InputData[[#This Row],[Transacted Units]]*InputData[[#This Row],[Transacted Price (per unit)]]</f>
        <v>151.47990000000001</v>
      </c>
      <c r="I486" s="14"/>
    </row>
    <row r="487" spans="1:9" ht="15.75" customHeight="1" x14ac:dyDescent="0.25">
      <c r="A487" s="16" t="s">
        <v>39</v>
      </c>
      <c r="B487" s="21">
        <v>44502</v>
      </c>
      <c r="C487" s="16" t="s">
        <v>4</v>
      </c>
      <c r="D487" s="17">
        <v>7</v>
      </c>
      <c r="E487" s="18">
        <v>1.5335000000000001</v>
      </c>
      <c r="F487" s="18">
        <v>7.0000000000000001E-3</v>
      </c>
      <c r="G487" s="16" t="s">
        <v>80</v>
      </c>
      <c r="H487" s="20">
        <f>InputData[[#This Row],[Transacted Units]]*InputData[[#This Row],[Transacted Price (per unit)]]</f>
        <v>10.734500000000001</v>
      </c>
      <c r="I487" s="14"/>
    </row>
    <row r="488" spans="1:9" ht="15.75" customHeight="1" x14ac:dyDescent="0.25">
      <c r="A488" s="16" t="s">
        <v>39</v>
      </c>
      <c r="B488" s="21">
        <v>44502</v>
      </c>
      <c r="C488" s="16" t="s">
        <v>4</v>
      </c>
      <c r="D488" s="17">
        <v>7</v>
      </c>
      <c r="E488" s="18">
        <v>1.5327</v>
      </c>
      <c r="F488" s="18">
        <v>7.0000000000000001E-3</v>
      </c>
      <c r="G488" s="16" t="s">
        <v>80</v>
      </c>
      <c r="H488" s="20">
        <f>InputData[[#This Row],[Transacted Units]]*InputData[[#This Row],[Transacted Price (per unit)]]</f>
        <v>10.728899999999999</v>
      </c>
      <c r="I488" s="14"/>
    </row>
    <row r="489" spans="1:9" ht="15.75" customHeight="1" x14ac:dyDescent="0.25">
      <c r="A489" s="16" t="s">
        <v>39</v>
      </c>
      <c r="B489" s="21">
        <v>44502</v>
      </c>
      <c r="C489" s="16" t="s">
        <v>4</v>
      </c>
      <c r="D489" s="17">
        <v>14</v>
      </c>
      <c r="E489" s="18">
        <v>1.5328999999999999</v>
      </c>
      <c r="F489" s="18">
        <v>1.4E-2</v>
      </c>
      <c r="G489" s="16" t="s">
        <v>80</v>
      </c>
      <c r="H489" s="20">
        <f>InputData[[#This Row],[Transacted Units]]*InputData[[#This Row],[Transacted Price (per unit)]]</f>
        <v>21.460599999999999</v>
      </c>
      <c r="I489" s="14"/>
    </row>
    <row r="490" spans="1:9" ht="15.75" customHeight="1" x14ac:dyDescent="0.25">
      <c r="A490" s="16" t="s">
        <v>39</v>
      </c>
      <c r="B490" s="21">
        <v>44502</v>
      </c>
      <c r="C490" s="16" t="s">
        <v>4</v>
      </c>
      <c r="D490" s="17">
        <v>21</v>
      </c>
      <c r="E490" s="18">
        <v>1.5336000000000001</v>
      </c>
      <c r="F490" s="18">
        <v>2.1000000000000001E-2</v>
      </c>
      <c r="G490" s="16" t="s">
        <v>80</v>
      </c>
      <c r="H490" s="20">
        <f>InputData[[#This Row],[Transacted Units]]*InputData[[#This Row],[Transacted Price (per unit)]]</f>
        <v>32.205600000000004</v>
      </c>
      <c r="I490" s="14"/>
    </row>
    <row r="491" spans="1:9" ht="15.75" customHeight="1" x14ac:dyDescent="0.25">
      <c r="A491" s="16" t="s">
        <v>39</v>
      </c>
      <c r="B491" s="21">
        <v>44502</v>
      </c>
      <c r="C491" s="16" t="s">
        <v>4</v>
      </c>
      <c r="D491" s="17">
        <v>100</v>
      </c>
      <c r="E491" s="18">
        <v>1.5082</v>
      </c>
      <c r="F491" s="18">
        <v>0.1</v>
      </c>
      <c r="G491" s="16" t="s">
        <v>80</v>
      </c>
      <c r="H491" s="20">
        <f>InputData[[#This Row],[Transacted Units]]*InputData[[#This Row],[Transacted Price (per unit)]]</f>
        <v>150.82</v>
      </c>
      <c r="I491" s="14"/>
    </row>
    <row r="492" spans="1:9" ht="15.75" customHeight="1" x14ac:dyDescent="0.25">
      <c r="A492" s="16" t="s">
        <v>39</v>
      </c>
      <c r="B492" s="21">
        <v>44502</v>
      </c>
      <c r="C492" s="16" t="s">
        <v>4</v>
      </c>
      <c r="D492" s="17">
        <v>16</v>
      </c>
      <c r="E492" s="18">
        <v>1.5113000000000001</v>
      </c>
      <c r="F492" s="18">
        <v>1.6E-2</v>
      </c>
      <c r="G492" s="16" t="s">
        <v>80</v>
      </c>
      <c r="H492" s="20">
        <f>InputData[[#This Row],[Transacted Units]]*InputData[[#This Row],[Transacted Price (per unit)]]</f>
        <v>24.180800000000001</v>
      </c>
      <c r="I492" s="14"/>
    </row>
    <row r="493" spans="1:9" ht="15.75" customHeight="1" x14ac:dyDescent="0.25">
      <c r="A493" s="16" t="s">
        <v>39</v>
      </c>
      <c r="B493" s="21">
        <v>44502</v>
      </c>
      <c r="C493" s="16" t="s">
        <v>4</v>
      </c>
      <c r="D493" s="17">
        <v>34</v>
      </c>
      <c r="E493" s="18">
        <v>1.5113000000000001</v>
      </c>
      <c r="F493" s="18">
        <v>3.4000000000000002E-2</v>
      </c>
      <c r="G493" s="16" t="s">
        <v>80</v>
      </c>
      <c r="H493" s="20">
        <f>InputData[[#This Row],[Transacted Units]]*InputData[[#This Row],[Transacted Price (per unit)]]</f>
        <v>51.3842</v>
      </c>
      <c r="I493" s="14"/>
    </row>
    <row r="494" spans="1:9" ht="15.75" customHeight="1" x14ac:dyDescent="0.25">
      <c r="A494" s="16" t="s">
        <v>39</v>
      </c>
      <c r="B494" s="21">
        <v>44502</v>
      </c>
      <c r="C494" s="16" t="s">
        <v>4</v>
      </c>
      <c r="D494" s="17">
        <v>101</v>
      </c>
      <c r="E494" s="18">
        <v>1.4883999999999999</v>
      </c>
      <c r="F494" s="18">
        <v>0.10100000000000001</v>
      </c>
      <c r="G494" s="16" t="s">
        <v>80</v>
      </c>
      <c r="H494" s="20">
        <f>InputData[[#This Row],[Transacted Units]]*InputData[[#This Row],[Transacted Price (per unit)]]</f>
        <v>150.32839999999999</v>
      </c>
      <c r="I494" s="14"/>
    </row>
    <row r="495" spans="1:9" ht="15.75" customHeight="1" x14ac:dyDescent="0.25">
      <c r="A495" s="16" t="s">
        <v>39</v>
      </c>
      <c r="B495" s="21">
        <v>44502</v>
      </c>
      <c r="C495" s="16" t="s">
        <v>4</v>
      </c>
      <c r="D495" s="17">
        <v>51</v>
      </c>
      <c r="E495" s="18">
        <v>1.4914000000000001</v>
      </c>
      <c r="F495" s="18">
        <v>5.0999999999999997E-2</v>
      </c>
      <c r="G495" s="16" t="s">
        <v>80</v>
      </c>
      <c r="H495" s="20">
        <f>InputData[[#This Row],[Transacted Units]]*InputData[[#This Row],[Transacted Price (per unit)]]</f>
        <v>76.061400000000006</v>
      </c>
      <c r="I495" s="14"/>
    </row>
    <row r="496" spans="1:9" ht="15.75" customHeight="1" x14ac:dyDescent="0.25">
      <c r="A496" s="16" t="s">
        <v>39</v>
      </c>
      <c r="B496" s="21">
        <v>44501</v>
      </c>
      <c r="C496" s="16" t="s">
        <v>4</v>
      </c>
      <c r="D496" s="17">
        <v>457</v>
      </c>
      <c r="E496" s="18">
        <v>1.4432</v>
      </c>
      <c r="F496" s="18">
        <v>0.45700000000000002</v>
      </c>
      <c r="G496" s="16" t="s">
        <v>80</v>
      </c>
      <c r="H496" s="20">
        <f>InputData[[#This Row],[Transacted Units]]*InputData[[#This Row],[Transacted Price (per unit)]]</f>
        <v>659.54240000000004</v>
      </c>
      <c r="I496" s="14"/>
    </row>
    <row r="497" spans="1:9" ht="15.75" customHeight="1" x14ac:dyDescent="0.25">
      <c r="A497" s="16" t="s">
        <v>39</v>
      </c>
      <c r="B497" s="21">
        <v>44501</v>
      </c>
      <c r="C497" s="16" t="s">
        <v>4</v>
      </c>
      <c r="D497" s="17">
        <v>344</v>
      </c>
      <c r="E497" s="18">
        <v>1.4742</v>
      </c>
      <c r="F497" s="18">
        <v>0.34399999999999997</v>
      </c>
      <c r="G497" s="16" t="s">
        <v>80</v>
      </c>
      <c r="H497" s="20">
        <f>InputData[[#This Row],[Transacted Units]]*InputData[[#This Row],[Transacted Price (per unit)]]</f>
        <v>507.12479999999999</v>
      </c>
      <c r="I497" s="14"/>
    </row>
    <row r="498" spans="1:9" ht="15.75" customHeight="1" x14ac:dyDescent="0.25">
      <c r="A498" s="16" t="s">
        <v>39</v>
      </c>
      <c r="B498" s="21">
        <v>44501</v>
      </c>
      <c r="C498" s="16" t="s">
        <v>4</v>
      </c>
      <c r="D498" s="17">
        <v>262</v>
      </c>
      <c r="E498" s="18">
        <v>1.4904999999999999</v>
      </c>
      <c r="F498" s="18">
        <v>0.26200000000000001</v>
      </c>
      <c r="G498" s="16" t="s">
        <v>80</v>
      </c>
      <c r="H498" s="20">
        <f>InputData[[#This Row],[Transacted Units]]*InputData[[#This Row],[Transacted Price (per unit)]]</f>
        <v>390.51099999999997</v>
      </c>
      <c r="I498" s="14"/>
    </row>
    <row r="499" spans="1:9" ht="15.75" customHeight="1" x14ac:dyDescent="0.25">
      <c r="A499" s="16" t="s">
        <v>39</v>
      </c>
      <c r="B499" s="21">
        <v>44501</v>
      </c>
      <c r="C499" s="16" t="s">
        <v>4</v>
      </c>
      <c r="D499" s="17">
        <v>201</v>
      </c>
      <c r="E499" s="18">
        <v>1.4990000000000001</v>
      </c>
      <c r="F499" s="18">
        <v>0.20100000000000001</v>
      </c>
      <c r="G499" s="16" t="s">
        <v>80</v>
      </c>
      <c r="H499" s="20">
        <f>InputData[[#This Row],[Transacted Units]]*InputData[[#This Row],[Transacted Price (per unit)]]</f>
        <v>301.29900000000004</v>
      </c>
      <c r="I499" s="14"/>
    </row>
    <row r="500" spans="1:9" ht="15.75" customHeight="1" x14ac:dyDescent="0.25">
      <c r="A500" s="16" t="s">
        <v>39</v>
      </c>
      <c r="B500" s="21">
        <v>44501</v>
      </c>
      <c r="C500" s="16" t="s">
        <v>4</v>
      </c>
      <c r="D500" s="17">
        <v>67</v>
      </c>
      <c r="E500" s="18">
        <v>1.5021</v>
      </c>
      <c r="F500" s="18">
        <v>6.7000000000000004E-2</v>
      </c>
      <c r="G500" s="16" t="s">
        <v>80</v>
      </c>
      <c r="H500" s="20">
        <f>InputData[[#This Row],[Transacted Units]]*InputData[[#This Row],[Transacted Price (per unit)]]</f>
        <v>100.6407</v>
      </c>
      <c r="I500" s="14"/>
    </row>
    <row r="501" spans="1:9" ht="15.75" customHeight="1" x14ac:dyDescent="0.25">
      <c r="A501" s="16" t="s">
        <v>39</v>
      </c>
      <c r="B501" s="21">
        <v>44500</v>
      </c>
      <c r="C501" s="16" t="s">
        <v>4</v>
      </c>
      <c r="D501" s="17">
        <v>451</v>
      </c>
      <c r="E501" s="18">
        <v>1.4699</v>
      </c>
      <c r="F501" s="18">
        <v>0.45100000000000001</v>
      </c>
      <c r="G501" s="16" t="s">
        <v>80</v>
      </c>
      <c r="H501" s="20">
        <f>InputData[[#This Row],[Transacted Units]]*InputData[[#This Row],[Transacted Price (per unit)]]</f>
        <v>662.92489999999998</v>
      </c>
      <c r="I501" s="14"/>
    </row>
    <row r="502" spans="1:9" ht="15.75" customHeight="1" x14ac:dyDescent="0.25">
      <c r="A502" s="16" t="s">
        <v>39</v>
      </c>
      <c r="B502" s="21">
        <v>44500</v>
      </c>
      <c r="C502" s="16" t="s">
        <v>4</v>
      </c>
      <c r="D502" s="17">
        <v>349</v>
      </c>
      <c r="E502" s="18">
        <v>1.4545999999999999</v>
      </c>
      <c r="F502" s="18">
        <v>0.34899999999999998</v>
      </c>
      <c r="G502" s="16" t="s">
        <v>80</v>
      </c>
      <c r="H502" s="20">
        <f>InputData[[#This Row],[Transacted Units]]*InputData[[#This Row],[Transacted Price (per unit)]]</f>
        <v>507.65539999999999</v>
      </c>
      <c r="I502" s="14"/>
    </row>
    <row r="503" spans="1:9" ht="15.75" customHeight="1" x14ac:dyDescent="0.25">
      <c r="A503" s="16" t="s">
        <v>39</v>
      </c>
      <c r="B503" s="21">
        <v>44500</v>
      </c>
      <c r="C503" s="16" t="s">
        <v>4</v>
      </c>
      <c r="D503" s="17">
        <v>200</v>
      </c>
      <c r="E503" s="18">
        <v>1.4932000000000001</v>
      </c>
      <c r="F503" s="18">
        <v>0.2</v>
      </c>
      <c r="G503" s="16" t="s">
        <v>80</v>
      </c>
      <c r="H503" s="20">
        <f>InputData[[#This Row],[Transacted Units]]*InputData[[#This Row],[Transacted Price (per unit)]]</f>
        <v>298.64000000000004</v>
      </c>
      <c r="I503" s="14"/>
    </row>
    <row r="504" spans="1:9" ht="15.75" customHeight="1" x14ac:dyDescent="0.25">
      <c r="A504" s="16" t="s">
        <v>39</v>
      </c>
      <c r="B504" s="21">
        <v>44500</v>
      </c>
      <c r="C504" s="16" t="s">
        <v>4</v>
      </c>
      <c r="D504" s="17">
        <v>27</v>
      </c>
      <c r="E504" s="18">
        <v>1.4932000000000001</v>
      </c>
      <c r="F504" s="18">
        <v>2.7E-2</v>
      </c>
      <c r="G504" s="16" t="s">
        <v>80</v>
      </c>
      <c r="H504" s="20">
        <f>InputData[[#This Row],[Transacted Units]]*InputData[[#This Row],[Transacted Price (per unit)]]</f>
        <v>40.316400000000002</v>
      </c>
      <c r="I504" s="14"/>
    </row>
    <row r="505" spans="1:9" ht="15.75" customHeight="1" x14ac:dyDescent="0.25">
      <c r="A505" s="16" t="s">
        <v>39</v>
      </c>
      <c r="B505" s="21">
        <v>44500</v>
      </c>
      <c r="C505" s="16" t="s">
        <v>4</v>
      </c>
      <c r="D505" s="17">
        <v>149</v>
      </c>
      <c r="E505" s="18">
        <v>1.5159</v>
      </c>
      <c r="F505" s="18">
        <v>0.14899999999999999</v>
      </c>
      <c r="G505" s="16" t="s">
        <v>80</v>
      </c>
      <c r="H505" s="20">
        <f>InputData[[#This Row],[Transacted Units]]*InputData[[#This Row],[Transacted Price (per unit)]]</f>
        <v>225.8691</v>
      </c>
      <c r="I505" s="14"/>
    </row>
    <row r="506" spans="1:9" ht="15.75" customHeight="1" x14ac:dyDescent="0.25">
      <c r="A506" s="16" t="s">
        <v>39</v>
      </c>
      <c r="B506" s="21">
        <v>44500</v>
      </c>
      <c r="C506" s="16" t="s">
        <v>4</v>
      </c>
      <c r="D506" s="17">
        <v>99</v>
      </c>
      <c r="E506" s="18">
        <v>1.5293000000000001</v>
      </c>
      <c r="F506" s="18">
        <v>9.9000000000000005E-2</v>
      </c>
      <c r="G506" s="16" t="s">
        <v>80</v>
      </c>
      <c r="H506" s="20">
        <f>InputData[[#This Row],[Transacted Units]]*InputData[[#This Row],[Transacted Price (per unit)]]</f>
        <v>151.4007</v>
      </c>
      <c r="I506" s="14"/>
    </row>
    <row r="507" spans="1:9" ht="15.75" customHeight="1" x14ac:dyDescent="0.25">
      <c r="A507" s="16" t="s">
        <v>39</v>
      </c>
      <c r="B507" s="21">
        <v>44500</v>
      </c>
      <c r="C507" s="16" t="s">
        <v>4</v>
      </c>
      <c r="D507" s="17">
        <v>66</v>
      </c>
      <c r="E507" s="18">
        <v>1.5371999999999999</v>
      </c>
      <c r="F507" s="18">
        <v>6.6000000000000003E-2</v>
      </c>
      <c r="G507" s="16" t="s">
        <v>80</v>
      </c>
      <c r="H507" s="20">
        <f>InputData[[#This Row],[Transacted Units]]*InputData[[#This Row],[Transacted Price (per unit)]]</f>
        <v>101.45519999999999</v>
      </c>
      <c r="I507" s="14"/>
    </row>
    <row r="508" spans="1:9" ht="15.75" customHeight="1" x14ac:dyDescent="0.25">
      <c r="A508" s="16" t="s">
        <v>39</v>
      </c>
      <c r="B508" s="21">
        <v>44500</v>
      </c>
      <c r="C508" s="16" t="s">
        <v>4</v>
      </c>
      <c r="D508" s="17">
        <v>33</v>
      </c>
      <c r="E508" s="18">
        <v>1.5403</v>
      </c>
      <c r="F508" s="18">
        <v>3.3000000000000002E-2</v>
      </c>
      <c r="G508" s="16" t="s">
        <v>80</v>
      </c>
      <c r="H508" s="20">
        <f>InputData[[#This Row],[Transacted Units]]*InputData[[#This Row],[Transacted Price (per unit)]]</f>
        <v>50.829900000000002</v>
      </c>
      <c r="I508" s="14"/>
    </row>
    <row r="509" spans="1:9" ht="15.75" customHeight="1" x14ac:dyDescent="0.25">
      <c r="A509" s="16" t="s">
        <v>39</v>
      </c>
      <c r="B509" s="21">
        <v>44500</v>
      </c>
      <c r="C509" s="16" t="s">
        <v>4</v>
      </c>
      <c r="D509" s="17">
        <v>99</v>
      </c>
      <c r="E509" s="18">
        <v>1.5162</v>
      </c>
      <c r="F509" s="18">
        <v>9.9000000000000005E-2</v>
      </c>
      <c r="G509" s="16" t="s">
        <v>80</v>
      </c>
      <c r="H509" s="20">
        <f>InputData[[#This Row],[Transacted Units]]*InputData[[#This Row],[Transacted Price (per unit)]]</f>
        <v>150.10380000000001</v>
      </c>
      <c r="I509" s="14"/>
    </row>
    <row r="510" spans="1:9" ht="15.75" customHeight="1" x14ac:dyDescent="0.25">
      <c r="A510" s="16" t="s">
        <v>39</v>
      </c>
      <c r="B510" s="21">
        <v>44500</v>
      </c>
      <c r="C510" s="16" t="s">
        <v>4</v>
      </c>
      <c r="D510" s="17">
        <v>66</v>
      </c>
      <c r="E510" s="18">
        <v>1.524</v>
      </c>
      <c r="F510" s="18">
        <v>6.6000000000000003E-2</v>
      </c>
      <c r="G510" s="16" t="s">
        <v>80</v>
      </c>
      <c r="H510" s="20">
        <f>InputData[[#This Row],[Transacted Units]]*InputData[[#This Row],[Transacted Price (per unit)]]</f>
        <v>100.584</v>
      </c>
      <c r="I510" s="14"/>
    </row>
    <row r="511" spans="1:9" ht="15.75" customHeight="1" x14ac:dyDescent="0.25">
      <c r="A511" s="16" t="s">
        <v>39</v>
      </c>
      <c r="B511" s="21">
        <v>44500</v>
      </c>
      <c r="C511" s="16" t="s">
        <v>4</v>
      </c>
      <c r="D511" s="17">
        <v>33</v>
      </c>
      <c r="E511" s="18">
        <v>1.5270999999999999</v>
      </c>
      <c r="F511" s="18">
        <v>3.3000000000000002E-2</v>
      </c>
      <c r="G511" s="16" t="s">
        <v>80</v>
      </c>
      <c r="H511" s="20">
        <f>InputData[[#This Row],[Transacted Units]]*InputData[[#This Row],[Transacted Price (per unit)]]</f>
        <v>50.394299999999994</v>
      </c>
      <c r="I511" s="14"/>
    </row>
    <row r="512" spans="1:9" ht="15.75" customHeight="1" x14ac:dyDescent="0.25">
      <c r="A512" s="16" t="s">
        <v>39</v>
      </c>
      <c r="B512" s="21">
        <v>44500</v>
      </c>
      <c r="C512" s="16" t="s">
        <v>4</v>
      </c>
      <c r="D512" s="17">
        <v>67</v>
      </c>
      <c r="E512" s="18">
        <v>1.4962</v>
      </c>
      <c r="F512" s="18">
        <v>6.7000000000000004E-2</v>
      </c>
      <c r="G512" s="16" t="s">
        <v>80</v>
      </c>
      <c r="H512" s="20">
        <f>InputData[[#This Row],[Transacted Units]]*InputData[[#This Row],[Transacted Price (per unit)]]</f>
        <v>100.2454</v>
      </c>
      <c r="I512" s="14"/>
    </row>
    <row r="513" spans="1:9" ht="15.75" customHeight="1" x14ac:dyDescent="0.25">
      <c r="A513" s="16" t="s">
        <v>39</v>
      </c>
      <c r="B513" s="21">
        <v>44500</v>
      </c>
      <c r="C513" s="16" t="s">
        <v>4</v>
      </c>
      <c r="D513" s="17">
        <v>34</v>
      </c>
      <c r="E513" s="18">
        <v>1.4993000000000001</v>
      </c>
      <c r="F513" s="18">
        <v>3.4000000000000002E-2</v>
      </c>
      <c r="G513" s="16" t="s">
        <v>80</v>
      </c>
      <c r="H513" s="20">
        <f>InputData[[#This Row],[Transacted Units]]*InputData[[#This Row],[Transacted Price (per unit)]]</f>
        <v>50.976200000000006</v>
      </c>
      <c r="I513" s="14"/>
    </row>
    <row r="514" spans="1:9" ht="15.75" customHeight="1" x14ac:dyDescent="0.25">
      <c r="A514" s="16" t="s">
        <v>39</v>
      </c>
      <c r="B514" s="21">
        <v>44500</v>
      </c>
      <c r="C514" s="16" t="s">
        <v>4</v>
      </c>
      <c r="D514" s="17">
        <v>68</v>
      </c>
      <c r="E514" s="18">
        <v>1.4801</v>
      </c>
      <c r="F514" s="18">
        <v>6.8000000000000005E-2</v>
      </c>
      <c r="G514" s="16" t="s">
        <v>80</v>
      </c>
      <c r="H514" s="20">
        <f>InputData[[#This Row],[Transacted Units]]*InputData[[#This Row],[Transacted Price (per unit)]]</f>
        <v>100.6468</v>
      </c>
      <c r="I514" s="14"/>
    </row>
    <row r="515" spans="1:9" ht="15.75" customHeight="1" x14ac:dyDescent="0.25">
      <c r="A515" s="16" t="s">
        <v>39</v>
      </c>
      <c r="B515" s="21">
        <v>44500</v>
      </c>
      <c r="C515" s="16" t="s">
        <v>4</v>
      </c>
      <c r="D515" s="17">
        <v>34</v>
      </c>
      <c r="E515" s="18">
        <v>1.4831000000000001</v>
      </c>
      <c r="F515" s="18">
        <v>3.4000000000000002E-2</v>
      </c>
      <c r="G515" s="16" t="s">
        <v>80</v>
      </c>
      <c r="H515" s="20">
        <f>InputData[[#This Row],[Transacted Units]]*InputData[[#This Row],[Transacted Price (per unit)]]</f>
        <v>50.425400000000003</v>
      </c>
      <c r="I515" s="14"/>
    </row>
    <row r="516" spans="1:9" ht="15.75" customHeight="1" x14ac:dyDescent="0.25">
      <c r="A516" s="16" t="s">
        <v>39</v>
      </c>
      <c r="B516" s="21">
        <v>44499</v>
      </c>
      <c r="C516" s="16" t="s">
        <v>4</v>
      </c>
      <c r="D516" s="17">
        <v>234</v>
      </c>
      <c r="E516" s="18">
        <v>1.4435</v>
      </c>
      <c r="F516" s="18">
        <v>0.23400000000000001</v>
      </c>
      <c r="G516" s="16" t="s">
        <v>80</v>
      </c>
      <c r="H516" s="20">
        <f>InputData[[#This Row],[Transacted Units]]*InputData[[#This Row],[Transacted Price (per unit)]]</f>
        <v>337.779</v>
      </c>
      <c r="I516" s="14"/>
    </row>
    <row r="517" spans="1:9" ht="15.75" customHeight="1" x14ac:dyDescent="0.25">
      <c r="A517" s="16" t="s">
        <v>39</v>
      </c>
      <c r="B517" s="21">
        <v>44499</v>
      </c>
      <c r="C517" s="16" t="s">
        <v>4</v>
      </c>
      <c r="D517" s="17">
        <v>154</v>
      </c>
      <c r="E517" s="18">
        <v>1.4654</v>
      </c>
      <c r="F517" s="18">
        <v>0.154</v>
      </c>
      <c r="G517" s="16" t="s">
        <v>80</v>
      </c>
      <c r="H517" s="20">
        <f>InputData[[#This Row],[Transacted Units]]*InputData[[#This Row],[Transacted Price (per unit)]]</f>
        <v>225.67160000000001</v>
      </c>
      <c r="I517" s="14"/>
    </row>
    <row r="518" spans="1:9" ht="15.75" customHeight="1" x14ac:dyDescent="0.25">
      <c r="A518" s="16" t="s">
        <v>39</v>
      </c>
      <c r="B518" s="21">
        <v>44499</v>
      </c>
      <c r="C518" s="16" t="s">
        <v>4</v>
      </c>
      <c r="D518" s="17">
        <v>102</v>
      </c>
      <c r="E518" s="18">
        <v>1.4783999999999999</v>
      </c>
      <c r="F518" s="18">
        <v>0.10199999999999999</v>
      </c>
      <c r="G518" s="16" t="s">
        <v>80</v>
      </c>
      <c r="H518" s="20">
        <f>InputData[[#This Row],[Transacted Units]]*InputData[[#This Row],[Transacted Price (per unit)]]</f>
        <v>150.79679999999999</v>
      </c>
      <c r="I518" s="14"/>
    </row>
    <row r="519" spans="1:9" ht="15.75" customHeight="1" x14ac:dyDescent="0.25">
      <c r="A519" s="16" t="s">
        <v>39</v>
      </c>
      <c r="B519" s="21">
        <v>44499</v>
      </c>
      <c r="C519" s="16" t="s">
        <v>4</v>
      </c>
      <c r="D519" s="17">
        <v>68</v>
      </c>
      <c r="E519" s="18">
        <v>1.486</v>
      </c>
      <c r="F519" s="18">
        <v>6.8000000000000005E-2</v>
      </c>
      <c r="G519" s="16" t="s">
        <v>80</v>
      </c>
      <c r="H519" s="20">
        <f>InputData[[#This Row],[Transacted Units]]*InputData[[#This Row],[Transacted Price (per unit)]]</f>
        <v>101.048</v>
      </c>
      <c r="I519" s="14"/>
    </row>
    <row r="520" spans="1:9" ht="15.75" customHeight="1" x14ac:dyDescent="0.25">
      <c r="A520" s="16" t="s">
        <v>39</v>
      </c>
      <c r="B520" s="21">
        <v>44499</v>
      </c>
      <c r="C520" s="16" t="s">
        <v>4</v>
      </c>
      <c r="D520" s="17">
        <v>34</v>
      </c>
      <c r="E520" s="18">
        <v>1.4890000000000001</v>
      </c>
      <c r="F520" s="18">
        <v>3.4000000000000002E-2</v>
      </c>
      <c r="G520" s="16" t="s">
        <v>80</v>
      </c>
      <c r="H520" s="20">
        <f>InputData[[#This Row],[Transacted Units]]*InputData[[#This Row],[Transacted Price (per unit)]]</f>
        <v>50.626000000000005</v>
      </c>
      <c r="I520" s="14"/>
    </row>
    <row r="521" spans="1:9" ht="15.75" customHeight="1" x14ac:dyDescent="0.25">
      <c r="A521" s="16" t="s">
        <v>39</v>
      </c>
      <c r="B521" s="21">
        <v>44499</v>
      </c>
      <c r="C521" s="16" t="s">
        <v>4</v>
      </c>
      <c r="D521" s="17">
        <v>103</v>
      </c>
      <c r="E521" s="18">
        <v>1.4638</v>
      </c>
      <c r="F521" s="18">
        <v>0.10299999999999999</v>
      </c>
      <c r="G521" s="16" t="s">
        <v>80</v>
      </c>
      <c r="H521" s="20">
        <f>InputData[[#This Row],[Transacted Units]]*InputData[[#This Row],[Transacted Price (per unit)]]</f>
        <v>150.7714</v>
      </c>
      <c r="I521" s="14"/>
    </row>
    <row r="522" spans="1:9" ht="15.75" customHeight="1" x14ac:dyDescent="0.25">
      <c r="A522" s="16" t="s">
        <v>39</v>
      </c>
      <c r="B522" s="21">
        <v>44499</v>
      </c>
      <c r="C522" s="16" t="s">
        <v>4</v>
      </c>
      <c r="D522" s="17">
        <v>68</v>
      </c>
      <c r="E522" s="18">
        <v>1.4713000000000001</v>
      </c>
      <c r="F522" s="18">
        <v>6.8000000000000005E-2</v>
      </c>
      <c r="G522" s="16" t="s">
        <v>80</v>
      </c>
      <c r="H522" s="20">
        <f>InputData[[#This Row],[Transacted Units]]*InputData[[#This Row],[Transacted Price (per unit)]]</f>
        <v>100.0484</v>
      </c>
      <c r="I522" s="14"/>
    </row>
    <row r="523" spans="1:9" ht="15.75" customHeight="1" x14ac:dyDescent="0.25">
      <c r="A523" s="16" t="s">
        <v>39</v>
      </c>
      <c r="B523" s="21">
        <v>44499</v>
      </c>
      <c r="C523" s="16" t="s">
        <v>4</v>
      </c>
      <c r="D523" s="17">
        <v>34</v>
      </c>
      <c r="E523" s="18">
        <v>1.4742999999999999</v>
      </c>
      <c r="F523" s="18">
        <v>3.4000000000000002E-2</v>
      </c>
      <c r="G523" s="16" t="s">
        <v>80</v>
      </c>
      <c r="H523" s="20">
        <f>InputData[[#This Row],[Transacted Units]]*InputData[[#This Row],[Transacted Price (per unit)]]</f>
        <v>50.126199999999997</v>
      </c>
      <c r="I523" s="14"/>
    </row>
    <row r="524" spans="1:9" ht="15.75" customHeight="1" x14ac:dyDescent="0.25">
      <c r="A524" s="16" t="s">
        <v>39</v>
      </c>
      <c r="B524" s="21">
        <v>44499</v>
      </c>
      <c r="C524" s="16" t="s">
        <v>4</v>
      </c>
      <c r="D524" s="17">
        <v>35</v>
      </c>
      <c r="E524" s="18">
        <v>1.4571000000000001</v>
      </c>
      <c r="F524" s="18">
        <v>3.5000000000000003E-2</v>
      </c>
      <c r="G524" s="16" t="s">
        <v>80</v>
      </c>
      <c r="H524" s="20">
        <f>InputData[[#This Row],[Transacted Units]]*InputData[[#This Row],[Transacted Price (per unit)]]</f>
        <v>50.9985</v>
      </c>
      <c r="I524" s="14"/>
    </row>
    <row r="525" spans="1:9" ht="15.75" customHeight="1" x14ac:dyDescent="0.25">
      <c r="A525" s="16" t="s">
        <v>39</v>
      </c>
      <c r="B525" s="21">
        <v>44498</v>
      </c>
      <c r="C525" s="16" t="s">
        <v>4</v>
      </c>
      <c r="D525" s="17">
        <v>105</v>
      </c>
      <c r="E525" s="18">
        <v>1.4343999999999999</v>
      </c>
      <c r="F525" s="18">
        <v>0.105</v>
      </c>
      <c r="G525" s="16" t="s">
        <v>80</v>
      </c>
      <c r="H525" s="20">
        <f>InputData[[#This Row],[Transacted Units]]*InputData[[#This Row],[Transacted Price (per unit)]]</f>
        <v>150.61199999999999</v>
      </c>
      <c r="I525" s="14"/>
    </row>
    <row r="526" spans="1:9" ht="15.75" customHeight="1" x14ac:dyDescent="0.25">
      <c r="A526" s="16" t="s">
        <v>39</v>
      </c>
      <c r="B526" s="21">
        <v>44498</v>
      </c>
      <c r="C526" s="16" t="s">
        <v>4</v>
      </c>
      <c r="D526" s="17">
        <v>48</v>
      </c>
      <c r="E526" s="18">
        <v>1.4418</v>
      </c>
      <c r="F526" s="18">
        <v>4.8000000000000001E-2</v>
      </c>
      <c r="G526" s="16" t="s">
        <v>80</v>
      </c>
      <c r="H526" s="20">
        <f>InputData[[#This Row],[Transacted Units]]*InputData[[#This Row],[Transacted Price (per unit)]]</f>
        <v>69.206400000000002</v>
      </c>
      <c r="I526" s="14"/>
    </row>
    <row r="527" spans="1:9" ht="15.75" customHeight="1" x14ac:dyDescent="0.25">
      <c r="A527" s="16" t="s">
        <v>39</v>
      </c>
      <c r="B527" s="21">
        <v>44498</v>
      </c>
      <c r="C527" s="16" t="s">
        <v>4</v>
      </c>
      <c r="D527" s="17">
        <v>22</v>
      </c>
      <c r="E527" s="18">
        <v>1.4418</v>
      </c>
      <c r="F527" s="18">
        <v>2.1999999999999999E-2</v>
      </c>
      <c r="G527" s="16" t="s">
        <v>80</v>
      </c>
      <c r="H527" s="20">
        <f>InputData[[#This Row],[Transacted Units]]*InputData[[#This Row],[Transacted Price (per unit)]]</f>
        <v>31.7196</v>
      </c>
      <c r="I527" s="14"/>
    </row>
    <row r="528" spans="1:9" ht="15.75" customHeight="1" x14ac:dyDescent="0.25">
      <c r="A528" s="16" t="s">
        <v>39</v>
      </c>
      <c r="B528" s="21">
        <v>44498</v>
      </c>
      <c r="C528" s="16" t="s">
        <v>4</v>
      </c>
      <c r="D528" s="17">
        <v>35</v>
      </c>
      <c r="E528" s="18">
        <v>1.4447000000000001</v>
      </c>
      <c r="F528" s="18">
        <v>3.5000000000000003E-2</v>
      </c>
      <c r="G528" s="16" t="s">
        <v>80</v>
      </c>
      <c r="H528" s="20">
        <f>InputData[[#This Row],[Transacted Units]]*InputData[[#This Row],[Transacted Price (per unit)]]</f>
        <v>50.564500000000002</v>
      </c>
      <c r="I528" s="14"/>
    </row>
    <row r="529" spans="1:9" ht="15.75" customHeight="1" x14ac:dyDescent="0.25">
      <c r="A529" s="16" t="s">
        <v>39</v>
      </c>
      <c r="B529" s="21">
        <v>44498</v>
      </c>
      <c r="C529" s="16" t="s">
        <v>4</v>
      </c>
      <c r="D529" s="17">
        <v>139</v>
      </c>
      <c r="E529" s="18">
        <v>1.4117</v>
      </c>
      <c r="F529" s="18">
        <v>0.13900000000000001</v>
      </c>
      <c r="G529" s="16" t="s">
        <v>80</v>
      </c>
      <c r="H529" s="20">
        <f>InputData[[#This Row],[Transacted Units]]*InputData[[#This Row],[Transacted Price (per unit)]]</f>
        <v>196.22629999999998</v>
      </c>
      <c r="I529" s="14"/>
    </row>
    <row r="530" spans="1:9" ht="15.75" customHeight="1" x14ac:dyDescent="0.25">
      <c r="A530" s="16" t="s">
        <v>39</v>
      </c>
      <c r="B530" s="21">
        <v>44498</v>
      </c>
      <c r="C530" s="16" t="s">
        <v>4</v>
      </c>
      <c r="D530" s="17">
        <v>99</v>
      </c>
      <c r="E530" s="18">
        <v>1.4238</v>
      </c>
      <c r="F530" s="18">
        <v>9.9000000000000005E-2</v>
      </c>
      <c r="G530" s="16" t="s">
        <v>80</v>
      </c>
      <c r="H530" s="20">
        <f>InputData[[#This Row],[Transacted Units]]*InputData[[#This Row],[Transacted Price (per unit)]]</f>
        <v>140.9562</v>
      </c>
      <c r="I530" s="14"/>
    </row>
    <row r="531" spans="1:9" ht="15.75" customHeight="1" x14ac:dyDescent="0.25">
      <c r="A531" s="16" t="s">
        <v>39</v>
      </c>
      <c r="B531" s="21">
        <v>44498</v>
      </c>
      <c r="C531" s="16" t="s">
        <v>4</v>
      </c>
      <c r="D531" s="17">
        <v>70</v>
      </c>
      <c r="E531" s="18">
        <v>1.4332</v>
      </c>
      <c r="F531" s="18">
        <v>7.0000000000000007E-2</v>
      </c>
      <c r="G531" s="16" t="s">
        <v>80</v>
      </c>
      <c r="H531" s="20">
        <f>InputData[[#This Row],[Transacted Units]]*InputData[[#This Row],[Transacted Price (per unit)]]</f>
        <v>100.324</v>
      </c>
      <c r="I531" s="14"/>
    </row>
    <row r="532" spans="1:9" ht="15.75" customHeight="1" x14ac:dyDescent="0.25">
      <c r="A532" s="16" t="s">
        <v>39</v>
      </c>
      <c r="B532" s="21">
        <v>44498</v>
      </c>
      <c r="C532" s="16" t="s">
        <v>4</v>
      </c>
      <c r="D532" s="17">
        <v>35</v>
      </c>
      <c r="E532" s="18">
        <v>1.4390000000000001</v>
      </c>
      <c r="F532" s="18">
        <v>3.5000000000000003E-2</v>
      </c>
      <c r="G532" s="16" t="s">
        <v>80</v>
      </c>
      <c r="H532" s="20">
        <f>InputData[[#This Row],[Transacted Units]]*InputData[[#This Row],[Transacted Price (per unit)]]</f>
        <v>50.365000000000002</v>
      </c>
      <c r="I532" s="14"/>
    </row>
    <row r="533" spans="1:9" ht="15.75" customHeight="1" x14ac:dyDescent="0.25">
      <c r="A533" s="16" t="s">
        <v>39</v>
      </c>
      <c r="B533" s="21">
        <v>44496</v>
      </c>
      <c r="C533" s="16" t="s">
        <v>4</v>
      </c>
      <c r="D533" s="17">
        <v>379</v>
      </c>
      <c r="E533" s="18">
        <v>1.3343</v>
      </c>
      <c r="F533" s="18">
        <v>0.379</v>
      </c>
      <c r="G533" s="16" t="s">
        <v>80</v>
      </c>
      <c r="H533" s="20">
        <f>InputData[[#This Row],[Transacted Units]]*InputData[[#This Row],[Transacted Price (per unit)]]</f>
        <v>505.69970000000001</v>
      </c>
      <c r="I533" s="14"/>
    </row>
    <row r="534" spans="1:9" ht="15.75" customHeight="1" x14ac:dyDescent="0.25">
      <c r="A534" s="16" t="s">
        <v>39</v>
      </c>
      <c r="B534" s="21">
        <v>44496</v>
      </c>
      <c r="C534" s="16" t="s">
        <v>4</v>
      </c>
      <c r="D534" s="17">
        <v>564</v>
      </c>
      <c r="E534" s="18">
        <v>1.3444</v>
      </c>
      <c r="F534" s="18">
        <v>0.56399999999999995</v>
      </c>
      <c r="G534" s="16" t="s">
        <v>80</v>
      </c>
      <c r="H534" s="20">
        <f>InputData[[#This Row],[Transacted Units]]*InputData[[#This Row],[Transacted Price (per unit)]]</f>
        <v>758.24160000000006</v>
      </c>
      <c r="I534" s="14"/>
    </row>
    <row r="535" spans="1:9" ht="15.75" customHeight="1" x14ac:dyDescent="0.25">
      <c r="A535" s="16" t="s">
        <v>39</v>
      </c>
      <c r="B535" s="21">
        <v>44496</v>
      </c>
      <c r="C535" s="16" t="s">
        <v>4</v>
      </c>
      <c r="D535" s="17">
        <v>973</v>
      </c>
      <c r="E535" s="18">
        <v>1.3444</v>
      </c>
      <c r="F535" s="18">
        <v>0.97299999999999998</v>
      </c>
      <c r="G535" s="16" t="s">
        <v>80</v>
      </c>
      <c r="H535" s="20">
        <f>InputData[[#This Row],[Transacted Units]]*InputData[[#This Row],[Transacted Price (per unit)]]</f>
        <v>1308.1012000000001</v>
      </c>
      <c r="I535" s="14"/>
    </row>
    <row r="536" spans="1:9" ht="15.75" customHeight="1" x14ac:dyDescent="0.25">
      <c r="A536" s="16" t="s">
        <v>39</v>
      </c>
      <c r="B536" s="21">
        <v>44496</v>
      </c>
      <c r="C536" s="16" t="s">
        <v>4</v>
      </c>
      <c r="D536" s="17">
        <v>30</v>
      </c>
      <c r="E536" s="18">
        <v>1.3934</v>
      </c>
      <c r="F536" s="18">
        <v>0.03</v>
      </c>
      <c r="G536" s="16" t="s">
        <v>80</v>
      </c>
      <c r="H536" s="20">
        <f>InputData[[#This Row],[Transacted Units]]*InputData[[#This Row],[Transacted Price (per unit)]]</f>
        <v>41.802</v>
      </c>
      <c r="I536" s="14"/>
    </row>
    <row r="537" spans="1:9" ht="15.75" customHeight="1" x14ac:dyDescent="0.25">
      <c r="A537" s="16" t="s">
        <v>39</v>
      </c>
      <c r="B537" s="21">
        <v>44496</v>
      </c>
      <c r="C537" s="16" t="s">
        <v>4</v>
      </c>
      <c r="D537" s="17">
        <v>163</v>
      </c>
      <c r="E537" s="18">
        <v>1.3934</v>
      </c>
      <c r="F537" s="18">
        <v>0.16300000000000001</v>
      </c>
      <c r="G537" s="16" t="s">
        <v>80</v>
      </c>
      <c r="H537" s="20">
        <f>InputData[[#This Row],[Transacted Units]]*InputData[[#This Row],[Transacted Price (per unit)]]</f>
        <v>227.1242</v>
      </c>
      <c r="I537" s="14"/>
    </row>
    <row r="538" spans="1:9" ht="15.75" customHeight="1" x14ac:dyDescent="0.25">
      <c r="A538" s="16" t="s">
        <v>39</v>
      </c>
      <c r="B538" s="21">
        <v>44496</v>
      </c>
      <c r="C538" s="16" t="s">
        <v>4</v>
      </c>
      <c r="D538" s="17">
        <v>867</v>
      </c>
      <c r="E538" s="18">
        <v>1.3934</v>
      </c>
      <c r="F538" s="18">
        <v>0.86699999999999999</v>
      </c>
      <c r="G538" s="16" t="s">
        <v>80</v>
      </c>
      <c r="H538" s="20">
        <f>InputData[[#This Row],[Transacted Units]]*InputData[[#This Row],[Transacted Price (per unit)]]</f>
        <v>1208.0778</v>
      </c>
      <c r="I538" s="14"/>
    </row>
    <row r="539" spans="1:9" ht="15.75" customHeight="1" x14ac:dyDescent="0.25">
      <c r="A539" s="16" t="s">
        <v>39</v>
      </c>
      <c r="B539" s="21">
        <v>44496</v>
      </c>
      <c r="C539" s="16" t="s">
        <v>4</v>
      </c>
      <c r="D539" s="17">
        <v>737</v>
      </c>
      <c r="E539" s="18">
        <v>1.4312</v>
      </c>
      <c r="F539" s="18">
        <v>0.73699999999999999</v>
      </c>
      <c r="G539" s="16" t="s">
        <v>80</v>
      </c>
      <c r="H539" s="20">
        <f>InputData[[#This Row],[Transacted Units]]*InputData[[#This Row],[Transacted Price (per unit)]]</f>
        <v>1054.7944</v>
      </c>
      <c r="I539" s="14"/>
    </row>
    <row r="540" spans="1:9" ht="15.75" customHeight="1" x14ac:dyDescent="0.25">
      <c r="A540" s="16" t="s">
        <v>39</v>
      </c>
      <c r="B540" s="21">
        <v>44495</v>
      </c>
      <c r="C540" s="16" t="s">
        <v>4</v>
      </c>
      <c r="D540" s="17">
        <v>516</v>
      </c>
      <c r="E540" s="18">
        <v>1.4601999999999999</v>
      </c>
      <c r="F540" s="18">
        <v>0.51600000000000001</v>
      </c>
      <c r="G540" s="16" t="s">
        <v>80</v>
      </c>
      <c r="H540" s="20">
        <f>InputData[[#This Row],[Transacted Units]]*InputData[[#This Row],[Transacted Price (per unit)]]</f>
        <v>753.46319999999992</v>
      </c>
      <c r="I540" s="14"/>
    </row>
    <row r="541" spans="1:9" ht="15.75" customHeight="1" x14ac:dyDescent="0.25">
      <c r="A541" s="16" t="s">
        <v>39</v>
      </c>
      <c r="B541" s="21">
        <v>44495</v>
      </c>
      <c r="C541" s="16" t="s">
        <v>4</v>
      </c>
      <c r="D541" s="17">
        <v>363</v>
      </c>
      <c r="E541" s="18">
        <v>1.4824999999999999</v>
      </c>
      <c r="F541" s="18">
        <v>0.36299999999999999</v>
      </c>
      <c r="G541" s="16" t="s">
        <v>80</v>
      </c>
      <c r="H541" s="20">
        <f>InputData[[#This Row],[Transacted Units]]*InputData[[#This Row],[Transacted Price (per unit)]]</f>
        <v>538.14749999999992</v>
      </c>
      <c r="I541" s="14"/>
    </row>
    <row r="542" spans="1:9" ht="15.75" customHeight="1" x14ac:dyDescent="0.25">
      <c r="A542" s="16" t="s">
        <v>39</v>
      </c>
      <c r="B542" s="21">
        <v>44495</v>
      </c>
      <c r="C542" s="16" t="s">
        <v>4</v>
      </c>
      <c r="D542" s="17">
        <v>257</v>
      </c>
      <c r="E542" s="18">
        <v>1.4997</v>
      </c>
      <c r="F542" s="18">
        <v>0.25700000000000001</v>
      </c>
      <c r="G542" s="16" t="s">
        <v>80</v>
      </c>
      <c r="H542" s="20">
        <f>InputData[[#This Row],[Transacted Units]]*InputData[[#This Row],[Transacted Price (per unit)]]</f>
        <v>385.42290000000003</v>
      </c>
      <c r="I542" s="14"/>
    </row>
    <row r="543" spans="1:9" ht="15.75" customHeight="1" x14ac:dyDescent="0.25">
      <c r="A543" s="16" t="s">
        <v>39</v>
      </c>
      <c r="B543" s="21">
        <v>44495</v>
      </c>
      <c r="C543" s="16" t="s">
        <v>4</v>
      </c>
      <c r="D543" s="17">
        <v>182</v>
      </c>
      <c r="E543" s="18">
        <v>1.5128999999999999</v>
      </c>
      <c r="F543" s="18">
        <v>0.182</v>
      </c>
      <c r="G543" s="16" t="s">
        <v>80</v>
      </c>
      <c r="H543" s="20">
        <f>InputData[[#This Row],[Transacted Units]]*InputData[[#This Row],[Transacted Price (per unit)]]</f>
        <v>275.34780000000001</v>
      </c>
      <c r="I543" s="14"/>
    </row>
    <row r="544" spans="1:9" ht="15.75" customHeight="1" x14ac:dyDescent="0.25">
      <c r="A544" s="16" t="s">
        <v>39</v>
      </c>
      <c r="B544" s="21">
        <v>44495</v>
      </c>
      <c r="C544" s="16" t="s">
        <v>4</v>
      </c>
      <c r="D544" s="17">
        <v>129</v>
      </c>
      <c r="E544" s="18">
        <v>1.5229999999999999</v>
      </c>
      <c r="F544" s="18">
        <v>0.129</v>
      </c>
      <c r="G544" s="16" t="s">
        <v>80</v>
      </c>
      <c r="H544" s="20">
        <f>InputData[[#This Row],[Transacted Units]]*InputData[[#This Row],[Transacted Price (per unit)]]</f>
        <v>196.46699999999998</v>
      </c>
      <c r="I544" s="14"/>
    </row>
    <row r="545" spans="1:9" ht="15.75" customHeight="1" x14ac:dyDescent="0.25">
      <c r="A545" s="16" t="s">
        <v>39</v>
      </c>
      <c r="B545" s="21">
        <v>44495</v>
      </c>
      <c r="C545" s="16" t="s">
        <v>4</v>
      </c>
      <c r="D545" s="17">
        <v>92</v>
      </c>
      <c r="E545" s="18">
        <v>1.5308999999999999</v>
      </c>
      <c r="F545" s="18">
        <v>9.1999999999999998E-2</v>
      </c>
      <c r="G545" s="16" t="s">
        <v>80</v>
      </c>
      <c r="H545" s="20">
        <f>InputData[[#This Row],[Transacted Units]]*InputData[[#This Row],[Transacted Price (per unit)]]</f>
        <v>140.84279999999998</v>
      </c>
      <c r="I545" s="14"/>
    </row>
    <row r="546" spans="1:9" ht="15.75" customHeight="1" x14ac:dyDescent="0.25">
      <c r="A546" s="16" t="s">
        <v>39</v>
      </c>
      <c r="B546" s="21">
        <v>44495</v>
      </c>
      <c r="C546" s="16" t="s">
        <v>4</v>
      </c>
      <c r="D546" s="17">
        <v>66</v>
      </c>
      <c r="E546" s="18">
        <v>1.5368999999999999</v>
      </c>
      <c r="F546" s="18">
        <v>6.6000000000000003E-2</v>
      </c>
      <c r="G546" s="16" t="s">
        <v>80</v>
      </c>
      <c r="H546" s="20">
        <f>InputData[[#This Row],[Transacted Units]]*InputData[[#This Row],[Transacted Price (per unit)]]</f>
        <v>101.4354</v>
      </c>
      <c r="I546" s="14"/>
    </row>
    <row r="547" spans="1:9" ht="15.75" customHeight="1" x14ac:dyDescent="0.25">
      <c r="A547" s="16" t="s">
        <v>39</v>
      </c>
      <c r="B547" s="21">
        <v>44495</v>
      </c>
      <c r="C547" s="16" t="s">
        <v>4</v>
      </c>
      <c r="D547" s="17">
        <v>33</v>
      </c>
      <c r="E547" s="18">
        <v>1.54</v>
      </c>
      <c r="F547" s="18">
        <v>3.3000000000000002E-2</v>
      </c>
      <c r="G547" s="16" t="s">
        <v>80</v>
      </c>
      <c r="H547" s="20">
        <f>InputData[[#This Row],[Transacted Units]]*InputData[[#This Row],[Transacted Price (per unit)]]</f>
        <v>50.82</v>
      </c>
      <c r="I547" s="14"/>
    </row>
    <row r="548" spans="1:9" ht="15.75" customHeight="1" x14ac:dyDescent="0.25">
      <c r="A548" s="16" t="s">
        <v>39</v>
      </c>
      <c r="B548" s="21">
        <v>44495</v>
      </c>
      <c r="C548" s="16" t="s">
        <v>4</v>
      </c>
      <c r="D548" s="17">
        <v>27</v>
      </c>
      <c r="E548" s="18">
        <v>1.5179</v>
      </c>
      <c r="F548" s="18">
        <v>2.7E-2</v>
      </c>
      <c r="G548" s="16" t="s">
        <v>80</v>
      </c>
      <c r="H548" s="20">
        <f>InputData[[#This Row],[Transacted Units]]*InputData[[#This Row],[Transacted Price (per unit)]]</f>
        <v>40.9833</v>
      </c>
      <c r="I548" s="14"/>
    </row>
    <row r="549" spans="1:9" ht="15.75" customHeight="1" x14ac:dyDescent="0.25">
      <c r="A549" s="16" t="s">
        <v>39</v>
      </c>
      <c r="B549" s="21">
        <v>44495</v>
      </c>
      <c r="C549" s="16" t="s">
        <v>4</v>
      </c>
      <c r="D549" s="17">
        <v>6</v>
      </c>
      <c r="E549" s="18">
        <v>1.5176000000000001</v>
      </c>
      <c r="F549" s="18">
        <v>6.0000000000000001E-3</v>
      </c>
      <c r="G549" s="16" t="s">
        <v>80</v>
      </c>
      <c r="H549" s="20">
        <f>InputData[[#This Row],[Transacted Units]]*InputData[[#This Row],[Transacted Price (per unit)]]</f>
        <v>9.1056000000000008</v>
      </c>
      <c r="I549" s="14"/>
    </row>
    <row r="550" spans="1:9" ht="15.75" customHeight="1" x14ac:dyDescent="0.25">
      <c r="A550" s="16" t="s">
        <v>39</v>
      </c>
      <c r="B550" s="21">
        <v>44495</v>
      </c>
      <c r="C550" s="16" t="s">
        <v>4</v>
      </c>
      <c r="D550" s="17">
        <v>94</v>
      </c>
      <c r="E550" s="18">
        <v>1.4904999999999999</v>
      </c>
      <c r="F550" s="18">
        <v>9.4E-2</v>
      </c>
      <c r="G550" s="16" t="s">
        <v>80</v>
      </c>
      <c r="H550" s="20">
        <f>InputData[[#This Row],[Transacted Units]]*InputData[[#This Row],[Transacted Price (per unit)]]</f>
        <v>140.107</v>
      </c>
      <c r="I550" s="14"/>
    </row>
    <row r="551" spans="1:9" ht="15.75" customHeight="1" x14ac:dyDescent="0.25">
      <c r="A551" s="16" t="s">
        <v>39</v>
      </c>
      <c r="B551" s="21">
        <v>44495</v>
      </c>
      <c r="C551" s="16" t="s">
        <v>4</v>
      </c>
      <c r="D551" s="17">
        <v>67</v>
      </c>
      <c r="E551" s="18">
        <v>1.4963</v>
      </c>
      <c r="F551" s="18">
        <v>6.7000000000000004E-2</v>
      </c>
      <c r="G551" s="16" t="s">
        <v>80</v>
      </c>
      <c r="H551" s="20">
        <f>InputData[[#This Row],[Transacted Units]]*InputData[[#This Row],[Transacted Price (per unit)]]</f>
        <v>100.2521</v>
      </c>
      <c r="I551" s="14"/>
    </row>
    <row r="552" spans="1:9" ht="15.75" customHeight="1" x14ac:dyDescent="0.25">
      <c r="A552" s="16" t="s">
        <v>39</v>
      </c>
      <c r="B552" s="21">
        <v>44495</v>
      </c>
      <c r="C552" s="16" t="s">
        <v>4</v>
      </c>
      <c r="D552" s="17">
        <v>34</v>
      </c>
      <c r="E552" s="18">
        <v>1.4994000000000001</v>
      </c>
      <c r="F552" s="18">
        <v>3.4000000000000002E-2</v>
      </c>
      <c r="G552" s="16" t="s">
        <v>80</v>
      </c>
      <c r="H552" s="20">
        <f>InputData[[#This Row],[Transacted Units]]*InputData[[#This Row],[Transacted Price (per unit)]]</f>
        <v>50.979600000000005</v>
      </c>
      <c r="I552" s="14"/>
    </row>
    <row r="553" spans="1:9" ht="15.75" customHeight="1" x14ac:dyDescent="0.25">
      <c r="A553" s="16" t="s">
        <v>39</v>
      </c>
      <c r="B553" s="21">
        <v>44495</v>
      </c>
      <c r="C553" s="16" t="s">
        <v>4</v>
      </c>
      <c r="D553" s="17">
        <v>187</v>
      </c>
      <c r="E553" s="18">
        <v>1.4677</v>
      </c>
      <c r="F553" s="18">
        <v>0.187</v>
      </c>
      <c r="G553" s="16" t="s">
        <v>80</v>
      </c>
      <c r="H553" s="20">
        <f>InputData[[#This Row],[Transacted Units]]*InputData[[#This Row],[Transacted Price (per unit)]]</f>
        <v>274.4599</v>
      </c>
      <c r="I553" s="14"/>
    </row>
    <row r="554" spans="1:9" ht="15.75" customHeight="1" x14ac:dyDescent="0.25">
      <c r="A554" s="16" t="s">
        <v>39</v>
      </c>
      <c r="B554" s="21">
        <v>44495</v>
      </c>
      <c r="C554" s="16" t="s">
        <v>4</v>
      </c>
      <c r="D554" s="17">
        <v>87</v>
      </c>
      <c r="E554" s="18">
        <v>1.4775</v>
      </c>
      <c r="F554" s="18">
        <v>8.6999999999999994E-2</v>
      </c>
      <c r="G554" s="16" t="s">
        <v>80</v>
      </c>
      <c r="H554" s="20">
        <f>InputData[[#This Row],[Transacted Units]]*InputData[[#This Row],[Transacted Price (per unit)]]</f>
        <v>128.54249999999999</v>
      </c>
      <c r="I554" s="14"/>
    </row>
    <row r="555" spans="1:9" ht="15.75" customHeight="1" x14ac:dyDescent="0.25">
      <c r="A555" s="16" t="s">
        <v>39</v>
      </c>
      <c r="B555" s="21">
        <v>44495</v>
      </c>
      <c r="C555" s="16" t="s">
        <v>4</v>
      </c>
      <c r="D555" s="17">
        <v>46</v>
      </c>
      <c r="E555" s="18">
        <v>1.4775</v>
      </c>
      <c r="F555" s="18">
        <v>4.5999999999999999E-2</v>
      </c>
      <c r="G555" s="16" t="s">
        <v>80</v>
      </c>
      <c r="H555" s="20">
        <f>InputData[[#This Row],[Transacted Units]]*InputData[[#This Row],[Transacted Price (per unit)]]</f>
        <v>67.965000000000003</v>
      </c>
      <c r="I555" s="14"/>
    </row>
    <row r="556" spans="1:9" ht="15.75" customHeight="1" x14ac:dyDescent="0.25">
      <c r="A556" s="16" t="s">
        <v>39</v>
      </c>
      <c r="B556" s="21">
        <v>44495</v>
      </c>
      <c r="C556" s="16" t="s">
        <v>4</v>
      </c>
      <c r="D556" s="17">
        <v>95</v>
      </c>
      <c r="E556" s="18">
        <v>1.4851000000000001</v>
      </c>
      <c r="F556" s="18">
        <v>9.5000000000000001E-2</v>
      </c>
      <c r="G556" s="16" t="s">
        <v>80</v>
      </c>
      <c r="H556" s="20">
        <f>InputData[[#This Row],[Transacted Units]]*InputData[[#This Row],[Transacted Price (per unit)]]</f>
        <v>141.08450000000002</v>
      </c>
      <c r="I556" s="14"/>
    </row>
    <row r="557" spans="1:9" ht="15.75" customHeight="1" x14ac:dyDescent="0.25">
      <c r="A557" s="16" t="s">
        <v>39</v>
      </c>
      <c r="B557" s="21">
        <v>44495</v>
      </c>
      <c r="C557" s="16" t="s">
        <v>4</v>
      </c>
      <c r="D557" s="17">
        <v>68</v>
      </c>
      <c r="E557" s="18">
        <v>1.4910000000000001</v>
      </c>
      <c r="F557" s="18">
        <v>6.8000000000000005E-2</v>
      </c>
      <c r="G557" s="16" t="s">
        <v>80</v>
      </c>
      <c r="H557" s="20">
        <f>InputData[[#This Row],[Transacted Units]]*InputData[[#This Row],[Transacted Price (per unit)]]</f>
        <v>101.38800000000001</v>
      </c>
      <c r="I557" s="14"/>
    </row>
    <row r="558" spans="1:9" ht="15.75" customHeight="1" x14ac:dyDescent="0.25">
      <c r="A558" s="16" t="s">
        <v>39</v>
      </c>
      <c r="B558" s="21">
        <v>44495</v>
      </c>
      <c r="C558" s="16" t="s">
        <v>4</v>
      </c>
      <c r="D558" s="17">
        <v>34</v>
      </c>
      <c r="E558" s="18">
        <v>1.494</v>
      </c>
      <c r="F558" s="18">
        <v>3.4000000000000002E-2</v>
      </c>
      <c r="G558" s="16" t="s">
        <v>80</v>
      </c>
      <c r="H558" s="20">
        <f>InputData[[#This Row],[Transacted Units]]*InputData[[#This Row],[Transacted Price (per unit)]]</f>
        <v>50.795999999999999</v>
      </c>
      <c r="I558" s="14"/>
    </row>
    <row r="559" spans="1:9" ht="15.75" customHeight="1" x14ac:dyDescent="0.25">
      <c r="A559" s="16" t="s">
        <v>39</v>
      </c>
      <c r="B559" s="21">
        <v>44473</v>
      </c>
      <c r="C559" s="16" t="s">
        <v>4</v>
      </c>
      <c r="D559" s="17">
        <v>11</v>
      </c>
      <c r="E559" s="18">
        <v>1.4267000000000001</v>
      </c>
      <c r="F559" s="18">
        <v>1.0999999999999999E-2</v>
      </c>
      <c r="G559" s="16" t="s">
        <v>80</v>
      </c>
      <c r="H559" s="20">
        <f>InputData[[#This Row],[Transacted Units]]*InputData[[#This Row],[Transacted Price (per unit)]]</f>
        <v>15.693700000000002</v>
      </c>
      <c r="I559" s="14"/>
    </row>
    <row r="560" spans="1:9" ht="15.75" customHeight="1" x14ac:dyDescent="0.25">
      <c r="A560" s="16" t="s">
        <v>39</v>
      </c>
      <c r="B560" s="21">
        <v>44473</v>
      </c>
      <c r="C560" s="16" t="s">
        <v>4</v>
      </c>
      <c r="D560" s="17">
        <v>108</v>
      </c>
      <c r="E560" s="18">
        <v>1.4267000000000001</v>
      </c>
      <c r="F560" s="18">
        <v>0.108</v>
      </c>
      <c r="G560" s="16" t="s">
        <v>80</v>
      </c>
      <c r="H560" s="20">
        <f>InputData[[#This Row],[Transacted Units]]*InputData[[#This Row],[Transacted Price (per unit)]]</f>
        <v>154.08360000000002</v>
      </c>
      <c r="I560" s="14"/>
    </row>
    <row r="561" spans="1:9" ht="15.75" customHeight="1" x14ac:dyDescent="0.25">
      <c r="A561" s="16" t="s">
        <v>39</v>
      </c>
      <c r="B561" s="21">
        <v>44472</v>
      </c>
      <c r="C561" s="16" t="s">
        <v>4</v>
      </c>
      <c r="D561" s="17">
        <v>78</v>
      </c>
      <c r="E561" s="18">
        <v>1.4573</v>
      </c>
      <c r="F561" s="18">
        <v>7.8E-2</v>
      </c>
      <c r="G561" s="16" t="s">
        <v>80</v>
      </c>
      <c r="H561" s="20">
        <f>InputData[[#This Row],[Transacted Units]]*InputData[[#This Row],[Transacted Price (per unit)]]</f>
        <v>113.6694</v>
      </c>
      <c r="I561" s="14"/>
    </row>
    <row r="562" spans="1:9" ht="15.75" customHeight="1" x14ac:dyDescent="0.25">
      <c r="A562" s="16" t="s">
        <v>39</v>
      </c>
      <c r="B562" s="21">
        <v>44472</v>
      </c>
      <c r="C562" s="16" t="s">
        <v>4</v>
      </c>
      <c r="D562" s="17">
        <v>51</v>
      </c>
      <c r="E562" s="18">
        <v>1.4734</v>
      </c>
      <c r="F562" s="18">
        <v>5.0999999999999997E-2</v>
      </c>
      <c r="G562" s="16" t="s">
        <v>80</v>
      </c>
      <c r="H562" s="20">
        <f>InputData[[#This Row],[Transacted Units]]*InputData[[#This Row],[Transacted Price (per unit)]]</f>
        <v>75.1434</v>
      </c>
      <c r="I562" s="14"/>
    </row>
    <row r="563" spans="1:9" ht="15.75" customHeight="1" x14ac:dyDescent="0.25">
      <c r="A563" s="16" t="s">
        <v>39</v>
      </c>
      <c r="B563" s="21">
        <v>44472</v>
      </c>
      <c r="C563" s="16" t="s">
        <v>4</v>
      </c>
      <c r="D563" s="17">
        <v>34</v>
      </c>
      <c r="E563" s="18">
        <v>1.4819</v>
      </c>
      <c r="F563" s="18">
        <v>3.4000000000000002E-2</v>
      </c>
      <c r="G563" s="16" t="s">
        <v>80</v>
      </c>
      <c r="H563" s="20">
        <f>InputData[[#This Row],[Transacted Units]]*InputData[[#This Row],[Transacted Price (per unit)]]</f>
        <v>50.384599999999999</v>
      </c>
      <c r="I563" s="14"/>
    </row>
    <row r="564" spans="1:9" ht="15.75" customHeight="1" x14ac:dyDescent="0.25">
      <c r="A564" s="16" t="s">
        <v>39</v>
      </c>
      <c r="B564" s="21">
        <v>44472</v>
      </c>
      <c r="C564" s="16" t="s">
        <v>4</v>
      </c>
      <c r="D564" s="17">
        <v>21</v>
      </c>
      <c r="E564" s="18">
        <v>1.4849000000000001</v>
      </c>
      <c r="F564" s="18">
        <v>2.1000000000000001E-2</v>
      </c>
      <c r="G564" s="16" t="s">
        <v>80</v>
      </c>
      <c r="H564" s="20">
        <f>InputData[[#This Row],[Transacted Units]]*InputData[[#This Row],[Transacted Price (per unit)]]</f>
        <v>31.182900000000004</v>
      </c>
      <c r="I564" s="14"/>
    </row>
    <row r="565" spans="1:9" ht="15.75" customHeight="1" x14ac:dyDescent="0.25">
      <c r="A565" s="16" t="s">
        <v>39</v>
      </c>
      <c r="B565" s="21">
        <v>44442</v>
      </c>
      <c r="C565" s="16" t="s">
        <v>4</v>
      </c>
      <c r="D565" s="17">
        <v>202</v>
      </c>
      <c r="E565" s="18">
        <v>1.6717</v>
      </c>
      <c r="F565" s="18">
        <v>0.20200000000000001</v>
      </c>
      <c r="G565" s="16" t="s">
        <v>80</v>
      </c>
      <c r="H565" s="20">
        <f>InputData[[#This Row],[Transacted Units]]*InputData[[#This Row],[Transacted Price (per unit)]]</f>
        <v>337.68340000000001</v>
      </c>
      <c r="I565" s="14"/>
    </row>
    <row r="566" spans="1:9" ht="15.75" customHeight="1" x14ac:dyDescent="0.25">
      <c r="A566" s="16" t="s">
        <v>39</v>
      </c>
      <c r="B566" s="21">
        <v>44441</v>
      </c>
      <c r="C566" s="16" t="s">
        <v>4</v>
      </c>
      <c r="D566" s="17">
        <v>132</v>
      </c>
      <c r="E566" s="18">
        <v>1.7076</v>
      </c>
      <c r="F566" s="18">
        <v>0.13200000000000001</v>
      </c>
      <c r="G566" s="16" t="s">
        <v>80</v>
      </c>
      <c r="H566" s="20">
        <f>InputData[[#This Row],[Transacted Units]]*InputData[[#This Row],[Transacted Price (per unit)]]</f>
        <v>225.4032</v>
      </c>
      <c r="I566" s="14"/>
    </row>
    <row r="567" spans="1:9" ht="15.75" customHeight="1" x14ac:dyDescent="0.25">
      <c r="A567" s="16" t="s">
        <v>39</v>
      </c>
      <c r="B567" s="21">
        <v>44441</v>
      </c>
      <c r="C567" s="16" t="s">
        <v>4</v>
      </c>
      <c r="D567" s="17">
        <v>87</v>
      </c>
      <c r="E567" s="18">
        <v>1.7263999999999999</v>
      </c>
      <c r="F567" s="18">
        <v>8.6999999999999994E-2</v>
      </c>
      <c r="G567" s="16" t="s">
        <v>80</v>
      </c>
      <c r="H567" s="20">
        <f>InputData[[#This Row],[Transacted Units]]*InputData[[#This Row],[Transacted Price (per unit)]]</f>
        <v>150.1968</v>
      </c>
      <c r="I567" s="14"/>
    </row>
    <row r="568" spans="1:9" ht="15.75" customHeight="1" x14ac:dyDescent="0.25">
      <c r="A568" s="16" t="s">
        <v>39</v>
      </c>
      <c r="B568" s="21">
        <v>44441</v>
      </c>
      <c r="C568" s="16" t="s">
        <v>4</v>
      </c>
      <c r="D568" s="17">
        <v>58</v>
      </c>
      <c r="E568" s="18">
        <v>1.7363999999999999</v>
      </c>
      <c r="F568" s="18">
        <v>5.8000000000000003E-2</v>
      </c>
      <c r="G568" s="16" t="s">
        <v>80</v>
      </c>
      <c r="H568" s="20">
        <f>InputData[[#This Row],[Transacted Units]]*InputData[[#This Row],[Transacted Price (per unit)]]</f>
        <v>100.71119999999999</v>
      </c>
      <c r="I568" s="14"/>
    </row>
    <row r="569" spans="1:9" ht="15.75" customHeight="1" x14ac:dyDescent="0.25">
      <c r="A569" s="16" t="s">
        <v>39</v>
      </c>
      <c r="B569" s="21">
        <v>44441</v>
      </c>
      <c r="C569" s="16" t="s">
        <v>4</v>
      </c>
      <c r="D569" s="17">
        <v>44</v>
      </c>
      <c r="E569" s="18">
        <v>1.7399</v>
      </c>
      <c r="F569" s="18">
        <v>4.3999999999999997E-2</v>
      </c>
      <c r="G569" s="16" t="s">
        <v>80</v>
      </c>
      <c r="H569" s="20">
        <f>InputData[[#This Row],[Transacted Units]]*InputData[[#This Row],[Transacted Price (per unit)]]</f>
        <v>76.555599999999998</v>
      </c>
      <c r="I569" s="14"/>
    </row>
    <row r="570" spans="1:9" ht="15.75" customHeight="1" x14ac:dyDescent="0.25">
      <c r="A570" s="16" t="s">
        <v>39</v>
      </c>
      <c r="B570" s="21">
        <v>44441</v>
      </c>
      <c r="C570" s="16" t="s">
        <v>4</v>
      </c>
      <c r="D570" s="17">
        <v>88</v>
      </c>
      <c r="E570" s="18">
        <v>1.7047000000000001</v>
      </c>
      <c r="F570" s="18">
        <v>8.7999999999999995E-2</v>
      </c>
      <c r="G570" s="16" t="s">
        <v>80</v>
      </c>
      <c r="H570" s="20">
        <f>InputData[[#This Row],[Transacted Units]]*InputData[[#This Row],[Transacted Price (per unit)]]</f>
        <v>150.0136</v>
      </c>
      <c r="I570" s="14"/>
    </row>
    <row r="571" spans="1:9" ht="15.75" customHeight="1" x14ac:dyDescent="0.25">
      <c r="A571" s="16" t="s">
        <v>39</v>
      </c>
      <c r="B571" s="21">
        <v>44441</v>
      </c>
      <c r="C571" s="16" t="s">
        <v>4</v>
      </c>
      <c r="D571" s="17">
        <v>59</v>
      </c>
      <c r="E571" s="18">
        <v>1.7144999999999999</v>
      </c>
      <c r="F571" s="18">
        <v>5.8999999999999997E-2</v>
      </c>
      <c r="G571" s="16" t="s">
        <v>80</v>
      </c>
      <c r="H571" s="20">
        <f>InputData[[#This Row],[Transacted Units]]*InputData[[#This Row],[Transacted Price (per unit)]]</f>
        <v>101.15549999999999</v>
      </c>
      <c r="I571" s="14"/>
    </row>
    <row r="572" spans="1:9" ht="15.75" customHeight="1" x14ac:dyDescent="0.25">
      <c r="A572" s="16" t="s">
        <v>39</v>
      </c>
      <c r="B572" s="21">
        <v>44441</v>
      </c>
      <c r="C572" s="16" t="s">
        <v>4</v>
      </c>
      <c r="D572" s="17">
        <v>44</v>
      </c>
      <c r="E572" s="18">
        <v>1.718</v>
      </c>
      <c r="F572" s="18">
        <v>4.3999999999999997E-2</v>
      </c>
      <c r="G572" s="16" t="s">
        <v>80</v>
      </c>
      <c r="H572" s="20">
        <f>InputData[[#This Row],[Transacted Units]]*InputData[[#This Row],[Transacted Price (per unit)]]</f>
        <v>75.591999999999999</v>
      </c>
      <c r="I572" s="14"/>
    </row>
    <row r="573" spans="1:9" ht="15.75" customHeight="1" x14ac:dyDescent="0.25">
      <c r="A573" s="16" t="s">
        <v>39</v>
      </c>
      <c r="B573" s="21">
        <v>44441</v>
      </c>
      <c r="C573" s="16" t="s">
        <v>4</v>
      </c>
      <c r="D573" s="17">
        <v>60</v>
      </c>
      <c r="E573" s="18">
        <v>1.6674</v>
      </c>
      <c r="F573" s="18">
        <v>0.06</v>
      </c>
      <c r="G573" s="16" t="s">
        <v>80</v>
      </c>
      <c r="H573" s="20">
        <f>InputData[[#This Row],[Transacted Units]]*InputData[[#This Row],[Transacted Price (per unit)]]</f>
        <v>100.044</v>
      </c>
      <c r="I573" s="14"/>
    </row>
    <row r="574" spans="1:9" ht="15.75" customHeight="1" x14ac:dyDescent="0.25">
      <c r="A574" s="16" t="s">
        <v>39</v>
      </c>
      <c r="B574" s="21">
        <v>44441</v>
      </c>
      <c r="C574" s="16" t="s">
        <v>4</v>
      </c>
      <c r="D574" s="17">
        <v>45</v>
      </c>
      <c r="E574" s="18">
        <v>1.6708000000000001</v>
      </c>
      <c r="F574" s="18">
        <v>4.4999999999999998E-2</v>
      </c>
      <c r="G574" s="16" t="s">
        <v>80</v>
      </c>
      <c r="H574" s="20">
        <f>InputData[[#This Row],[Transacted Units]]*InputData[[#This Row],[Transacted Price (per unit)]]</f>
        <v>75.186000000000007</v>
      </c>
      <c r="I574" s="14"/>
    </row>
    <row r="575" spans="1:9" ht="15.75" customHeight="1" x14ac:dyDescent="0.25">
      <c r="A575" s="16" t="s">
        <v>39</v>
      </c>
      <c r="B575" s="21">
        <v>44440</v>
      </c>
      <c r="C575" s="16" t="s">
        <v>4</v>
      </c>
      <c r="D575" s="17">
        <v>139</v>
      </c>
      <c r="E575" s="18">
        <v>1.6242000000000001</v>
      </c>
      <c r="F575" s="18">
        <v>0.13900000000000001</v>
      </c>
      <c r="G575" s="16" t="s">
        <v>80</v>
      </c>
      <c r="H575" s="20">
        <f>InputData[[#This Row],[Transacted Units]]*InputData[[#This Row],[Transacted Price (per unit)]]</f>
        <v>225.7638</v>
      </c>
      <c r="I575" s="14"/>
    </row>
    <row r="576" spans="1:9" ht="15.75" customHeight="1" x14ac:dyDescent="0.25">
      <c r="A576" s="16" t="s">
        <v>39</v>
      </c>
      <c r="B576" s="21">
        <v>44440</v>
      </c>
      <c r="C576" s="16" t="s">
        <v>4</v>
      </c>
      <c r="D576" s="17">
        <v>92</v>
      </c>
      <c r="E576" s="18">
        <v>1.6420999999999999</v>
      </c>
      <c r="F576" s="18">
        <v>9.1999999999999998E-2</v>
      </c>
      <c r="G576" s="16" t="s">
        <v>80</v>
      </c>
      <c r="H576" s="20">
        <f>InputData[[#This Row],[Transacted Units]]*InputData[[#This Row],[Transacted Price (per unit)]]</f>
        <v>151.07319999999999</v>
      </c>
      <c r="I576" s="14"/>
    </row>
    <row r="577" spans="1:9" ht="15.75" customHeight="1" x14ac:dyDescent="0.25">
      <c r="A577" s="16" t="s">
        <v>39</v>
      </c>
      <c r="B577" s="21">
        <v>44440</v>
      </c>
      <c r="C577" s="16" t="s">
        <v>4</v>
      </c>
      <c r="D577" s="17">
        <v>61</v>
      </c>
      <c r="E577" s="18">
        <v>1.6515</v>
      </c>
      <c r="F577" s="18">
        <v>6.0999999999999999E-2</v>
      </c>
      <c r="G577" s="16" t="s">
        <v>80</v>
      </c>
      <c r="H577" s="20">
        <f>InputData[[#This Row],[Transacted Units]]*InputData[[#This Row],[Transacted Price (per unit)]]</f>
        <v>100.7415</v>
      </c>
      <c r="I577" s="14"/>
    </row>
    <row r="578" spans="1:9" ht="15.75" customHeight="1" x14ac:dyDescent="0.25">
      <c r="A578" s="16" t="s">
        <v>39</v>
      </c>
      <c r="B578" s="21">
        <v>44440</v>
      </c>
      <c r="C578" s="16" t="s">
        <v>4</v>
      </c>
      <c r="D578" s="17">
        <v>9</v>
      </c>
      <c r="E578" s="18">
        <v>1.655</v>
      </c>
      <c r="F578" s="18">
        <v>8.9999999999999993E-3</v>
      </c>
      <c r="G578" s="16" t="s">
        <v>80</v>
      </c>
      <c r="H578" s="20">
        <f>InputData[[#This Row],[Transacted Units]]*InputData[[#This Row],[Transacted Price (per unit)]]</f>
        <v>14.895</v>
      </c>
      <c r="I578" s="14"/>
    </row>
    <row r="579" spans="1:9" ht="15.75" customHeight="1" x14ac:dyDescent="0.25">
      <c r="A579" s="16" t="s">
        <v>39</v>
      </c>
      <c r="B579" s="21">
        <v>44440</v>
      </c>
      <c r="C579" s="16" t="s">
        <v>4</v>
      </c>
      <c r="D579" s="17">
        <v>10</v>
      </c>
      <c r="E579" s="18">
        <v>1.6548</v>
      </c>
      <c r="F579" s="18">
        <v>0.01</v>
      </c>
      <c r="G579" s="16" t="s">
        <v>80</v>
      </c>
      <c r="H579" s="20">
        <f>InputData[[#This Row],[Transacted Units]]*InputData[[#This Row],[Transacted Price (per unit)]]</f>
        <v>16.548000000000002</v>
      </c>
      <c r="I579" s="14"/>
    </row>
    <row r="580" spans="1:9" ht="15.75" customHeight="1" x14ac:dyDescent="0.25">
      <c r="A580" s="16" t="s">
        <v>39</v>
      </c>
      <c r="B580" s="21">
        <v>44440</v>
      </c>
      <c r="C580" s="16" t="s">
        <v>4</v>
      </c>
      <c r="D580" s="17">
        <v>17</v>
      </c>
      <c r="E580" s="18">
        <v>1.655</v>
      </c>
      <c r="F580" s="18">
        <v>1.7000000000000001E-2</v>
      </c>
      <c r="G580" s="16" t="s">
        <v>80</v>
      </c>
      <c r="H580" s="20">
        <f>InputData[[#This Row],[Transacted Units]]*InputData[[#This Row],[Transacted Price (per unit)]]</f>
        <v>28.135000000000002</v>
      </c>
      <c r="I580" s="14"/>
    </row>
    <row r="581" spans="1:9" ht="15.75" customHeight="1" x14ac:dyDescent="0.25">
      <c r="A581" s="16" t="s">
        <v>39</v>
      </c>
      <c r="B581" s="21">
        <v>44440</v>
      </c>
      <c r="C581" s="16" t="s">
        <v>4</v>
      </c>
      <c r="D581" s="17">
        <v>10</v>
      </c>
      <c r="E581" s="18">
        <v>1.6548</v>
      </c>
      <c r="F581" s="18">
        <v>0.01</v>
      </c>
      <c r="G581" s="16" t="s">
        <v>80</v>
      </c>
      <c r="H581" s="20">
        <f>InputData[[#This Row],[Transacted Units]]*InputData[[#This Row],[Transacted Price (per unit)]]</f>
        <v>16.548000000000002</v>
      </c>
      <c r="I581" s="14"/>
    </row>
    <row r="582" spans="1:9" ht="15.75" customHeight="1" x14ac:dyDescent="0.25">
      <c r="A582" s="16" t="s">
        <v>39</v>
      </c>
      <c r="B582" s="21">
        <v>44439</v>
      </c>
      <c r="C582" s="16" t="s">
        <v>4</v>
      </c>
      <c r="D582" s="17">
        <v>36</v>
      </c>
      <c r="E582" s="18">
        <v>1.6032</v>
      </c>
      <c r="F582" s="18">
        <v>3.5999999999999997E-2</v>
      </c>
      <c r="G582" s="16" t="s">
        <v>80</v>
      </c>
      <c r="H582" s="20">
        <f>InputData[[#This Row],[Transacted Units]]*InputData[[#This Row],[Transacted Price (per unit)]]</f>
        <v>57.715199999999996</v>
      </c>
      <c r="I582" s="14"/>
    </row>
    <row r="583" spans="1:9" ht="15.75" customHeight="1" x14ac:dyDescent="0.25">
      <c r="A583" s="16" t="s">
        <v>39</v>
      </c>
      <c r="B583" s="21">
        <v>44439</v>
      </c>
      <c r="C583" s="16" t="s">
        <v>4</v>
      </c>
      <c r="D583" s="17">
        <v>108</v>
      </c>
      <c r="E583" s="18">
        <v>1.6032</v>
      </c>
      <c r="F583" s="18">
        <v>0.108</v>
      </c>
      <c r="G583" s="16" t="s">
        <v>80</v>
      </c>
      <c r="H583" s="20">
        <f>InputData[[#This Row],[Transacted Units]]*InputData[[#This Row],[Transacted Price (per unit)]]</f>
        <v>173.1456</v>
      </c>
      <c r="I583" s="14"/>
    </row>
    <row r="584" spans="1:9" ht="15.75" customHeight="1" x14ac:dyDescent="0.25">
      <c r="A584" s="16" t="s">
        <v>39</v>
      </c>
      <c r="B584" s="21">
        <v>44439</v>
      </c>
      <c r="C584" s="16" t="s">
        <v>4</v>
      </c>
      <c r="D584" s="17">
        <v>67</v>
      </c>
      <c r="E584" s="18">
        <v>1.6032</v>
      </c>
      <c r="F584" s="18">
        <v>6.7000000000000004E-2</v>
      </c>
      <c r="G584" s="16" t="s">
        <v>80</v>
      </c>
      <c r="H584" s="20">
        <f>InputData[[#This Row],[Transacted Units]]*InputData[[#This Row],[Transacted Price (per unit)]]</f>
        <v>107.4144</v>
      </c>
      <c r="I584" s="14"/>
    </row>
    <row r="585" spans="1:9" ht="15.75" customHeight="1" x14ac:dyDescent="0.25">
      <c r="A585" s="16" t="s">
        <v>39</v>
      </c>
      <c r="B585" s="21">
        <v>44439</v>
      </c>
      <c r="C585" s="16" t="s">
        <v>4</v>
      </c>
      <c r="D585" s="17">
        <v>138</v>
      </c>
      <c r="E585" s="18">
        <v>1.6375999999999999</v>
      </c>
      <c r="F585" s="18">
        <v>0.13800000000000001</v>
      </c>
      <c r="G585" s="16" t="s">
        <v>80</v>
      </c>
      <c r="H585" s="20">
        <f>InputData[[#This Row],[Transacted Units]]*InputData[[#This Row],[Transacted Price (per unit)]]</f>
        <v>225.9888</v>
      </c>
      <c r="I585" s="14"/>
    </row>
    <row r="586" spans="1:9" ht="15.75" customHeight="1" x14ac:dyDescent="0.25">
      <c r="A586" s="16" t="s">
        <v>39</v>
      </c>
      <c r="B586" s="21">
        <v>44439</v>
      </c>
      <c r="C586" s="16" t="s">
        <v>4</v>
      </c>
      <c r="D586" s="17">
        <v>91</v>
      </c>
      <c r="E586" s="18">
        <v>1.6556999999999999</v>
      </c>
      <c r="F586" s="18">
        <v>9.0999999999999998E-2</v>
      </c>
      <c r="G586" s="16" t="s">
        <v>80</v>
      </c>
      <c r="H586" s="20">
        <f>InputData[[#This Row],[Transacted Units]]*InputData[[#This Row],[Transacted Price (per unit)]]</f>
        <v>150.6687</v>
      </c>
      <c r="I586" s="14"/>
    </row>
    <row r="587" spans="1:9" ht="15.75" customHeight="1" x14ac:dyDescent="0.25">
      <c r="A587" s="16" t="s">
        <v>39</v>
      </c>
      <c r="B587" s="21">
        <v>44439</v>
      </c>
      <c r="C587" s="16" t="s">
        <v>4</v>
      </c>
      <c r="D587" s="17">
        <v>61</v>
      </c>
      <c r="E587" s="18">
        <v>1.6652</v>
      </c>
      <c r="F587" s="18">
        <v>6.0999999999999999E-2</v>
      </c>
      <c r="G587" s="16" t="s">
        <v>80</v>
      </c>
      <c r="H587" s="20">
        <f>InputData[[#This Row],[Transacted Units]]*InputData[[#This Row],[Transacted Price (per unit)]]</f>
        <v>101.5772</v>
      </c>
      <c r="I587" s="14"/>
    </row>
    <row r="588" spans="1:9" ht="15.75" customHeight="1" x14ac:dyDescent="0.25">
      <c r="A588" s="16" t="s">
        <v>39</v>
      </c>
      <c r="B588" s="21">
        <v>44439</v>
      </c>
      <c r="C588" s="16" t="s">
        <v>4</v>
      </c>
      <c r="D588" s="17">
        <v>45</v>
      </c>
      <c r="E588" s="18">
        <v>1.6686000000000001</v>
      </c>
      <c r="F588" s="18">
        <v>4.4999999999999998E-2</v>
      </c>
      <c r="G588" s="16" t="s">
        <v>80</v>
      </c>
      <c r="H588" s="20">
        <f>InputData[[#This Row],[Transacted Units]]*InputData[[#This Row],[Transacted Price (per unit)]]</f>
        <v>75.087000000000003</v>
      </c>
      <c r="I588" s="14"/>
    </row>
    <row r="589" spans="1:9" ht="15.75" customHeight="1" x14ac:dyDescent="0.25">
      <c r="A589" s="16" t="s">
        <v>39</v>
      </c>
      <c r="B589" s="21">
        <v>44435</v>
      </c>
      <c r="C589" s="16" t="s">
        <v>4</v>
      </c>
      <c r="D589" s="17">
        <v>209</v>
      </c>
      <c r="E589" s="18">
        <v>1.5485</v>
      </c>
      <c r="F589" s="18">
        <v>0.20899999999999999</v>
      </c>
      <c r="G589" s="16" t="s">
        <v>80</v>
      </c>
      <c r="H589" s="20">
        <f>InputData[[#This Row],[Transacted Units]]*InputData[[#This Row],[Transacted Price (per unit)]]</f>
        <v>323.63650000000001</v>
      </c>
      <c r="I589" s="14"/>
    </row>
    <row r="590" spans="1:9" ht="15.75" customHeight="1" x14ac:dyDescent="0.25">
      <c r="A590" s="16" t="s">
        <v>39</v>
      </c>
      <c r="B590" s="21">
        <v>44434</v>
      </c>
      <c r="C590" s="16" t="s">
        <v>4</v>
      </c>
      <c r="D590" s="17">
        <v>251</v>
      </c>
      <c r="E590" s="18">
        <v>1.5128999999999999</v>
      </c>
      <c r="F590" s="18">
        <v>0.25097000000000003</v>
      </c>
      <c r="G590" s="16" t="s">
        <v>80</v>
      </c>
      <c r="H590" s="20">
        <f>InputData[[#This Row],[Transacted Units]]*InputData[[#This Row],[Transacted Price (per unit)]]</f>
        <v>379.73789999999997</v>
      </c>
      <c r="I590" s="14"/>
    </row>
    <row r="591" spans="1:9" ht="15.75" customHeight="1" x14ac:dyDescent="0.25">
      <c r="A591" s="16" t="s">
        <v>39</v>
      </c>
      <c r="B591" s="21">
        <v>44432</v>
      </c>
      <c r="C591" s="16" t="s">
        <v>4</v>
      </c>
      <c r="D591" s="17">
        <v>153.80000000000001</v>
      </c>
      <c r="E591" s="18">
        <v>1.6456999999999999</v>
      </c>
      <c r="F591" s="18">
        <v>0.15381</v>
      </c>
      <c r="G591" s="16" t="s">
        <v>80</v>
      </c>
      <c r="H591" s="20">
        <f>InputData[[#This Row],[Transacted Units]]*InputData[[#This Row],[Transacted Price (per unit)]]</f>
        <v>253.10866000000001</v>
      </c>
      <c r="I591" s="14"/>
    </row>
    <row r="592" spans="1:9" ht="15.75" customHeight="1" x14ac:dyDescent="0.25">
      <c r="A592" s="16" t="s">
        <v>39</v>
      </c>
      <c r="B592" s="21">
        <v>44431</v>
      </c>
      <c r="C592" s="16" t="s">
        <v>4</v>
      </c>
      <c r="D592" s="17">
        <v>98.4</v>
      </c>
      <c r="E592" s="18">
        <v>1.7156</v>
      </c>
      <c r="F592" s="18">
        <v>9.8369999999999999E-2</v>
      </c>
      <c r="G592" s="16" t="s">
        <v>80</v>
      </c>
      <c r="H592" s="20">
        <f>InputData[[#This Row],[Transacted Units]]*InputData[[#This Row],[Transacted Price (per unit)]]</f>
        <v>168.81504000000001</v>
      </c>
      <c r="I592" s="14"/>
    </row>
    <row r="593" spans="1:9" ht="15.75" customHeight="1" x14ac:dyDescent="0.25">
      <c r="A593" s="16" t="s">
        <v>39</v>
      </c>
      <c r="B593" s="21">
        <v>44431</v>
      </c>
      <c r="C593" s="16" t="s">
        <v>4</v>
      </c>
      <c r="D593" s="17">
        <v>0.6</v>
      </c>
      <c r="E593" s="18">
        <v>1.7523</v>
      </c>
      <c r="F593" s="18">
        <v>6.3000000000000003E-4</v>
      </c>
      <c r="G593" s="16" t="s">
        <v>80</v>
      </c>
      <c r="H593" s="20">
        <f>InputData[[#This Row],[Transacted Units]]*InputData[[#This Row],[Transacted Price (per unit)]]</f>
        <v>1.05138</v>
      </c>
      <c r="I593" s="14"/>
    </row>
    <row r="594" spans="1:9" ht="15.75" customHeight="1" x14ac:dyDescent="0.25">
      <c r="A594" s="16" t="s">
        <v>39</v>
      </c>
      <c r="B594" s="21">
        <v>44431</v>
      </c>
      <c r="C594" s="16" t="s">
        <v>4</v>
      </c>
      <c r="D594" s="17">
        <v>63.6</v>
      </c>
      <c r="E594" s="18">
        <v>1.7523</v>
      </c>
      <c r="F594" s="18">
        <v>6.3579999999999998E-2</v>
      </c>
      <c r="G594" s="16" t="s">
        <v>80</v>
      </c>
      <c r="H594" s="20">
        <f>InputData[[#This Row],[Transacted Units]]*InputData[[#This Row],[Transacted Price (per unit)]]</f>
        <v>111.44628</v>
      </c>
      <c r="I594" s="14"/>
    </row>
    <row r="595" spans="1:9" ht="15.75" customHeight="1" x14ac:dyDescent="0.25">
      <c r="A595" s="16" t="s">
        <v>39</v>
      </c>
      <c r="B595" s="21">
        <v>44431</v>
      </c>
      <c r="C595" s="16" t="s">
        <v>4</v>
      </c>
      <c r="D595" s="17">
        <v>42.3</v>
      </c>
      <c r="E595" s="18">
        <v>1.7717000000000001</v>
      </c>
      <c r="F595" s="18">
        <v>4.2340000000000003E-2</v>
      </c>
      <c r="G595" s="16" t="s">
        <v>80</v>
      </c>
      <c r="H595" s="20">
        <f>InputData[[#This Row],[Transacted Units]]*InputData[[#This Row],[Transacted Price (per unit)]]</f>
        <v>74.942909999999998</v>
      </c>
      <c r="I595" s="14"/>
    </row>
    <row r="596" spans="1:9" ht="15.75" customHeight="1" x14ac:dyDescent="0.25">
      <c r="A596" s="16" t="s">
        <v>39</v>
      </c>
      <c r="B596" s="21">
        <v>44431</v>
      </c>
      <c r="C596" s="16" t="s">
        <v>4</v>
      </c>
      <c r="D596" s="17">
        <v>28.1</v>
      </c>
      <c r="E596" s="18">
        <v>1.7819</v>
      </c>
      <c r="F596" s="18">
        <v>2.8060000000000002E-2</v>
      </c>
      <c r="G596" s="16" t="s">
        <v>80</v>
      </c>
      <c r="H596" s="20">
        <f>InputData[[#This Row],[Transacted Units]]*InputData[[#This Row],[Transacted Price (per unit)]]</f>
        <v>50.071390000000001</v>
      </c>
      <c r="I596" s="14"/>
    </row>
    <row r="597" spans="1:9" ht="15.75" customHeight="1" x14ac:dyDescent="0.25">
      <c r="A597" s="16" t="s">
        <v>39</v>
      </c>
      <c r="B597" s="21">
        <v>44431</v>
      </c>
      <c r="C597" s="16" t="s">
        <v>4</v>
      </c>
      <c r="D597" s="17">
        <v>28</v>
      </c>
      <c r="E597" s="18">
        <v>1.7855000000000001</v>
      </c>
      <c r="F597" s="18">
        <v>2.801E-2</v>
      </c>
      <c r="G597" s="16" t="s">
        <v>80</v>
      </c>
      <c r="H597" s="20">
        <f>InputData[[#This Row],[Transacted Units]]*InputData[[#This Row],[Transacted Price (per unit)]]</f>
        <v>49.994</v>
      </c>
      <c r="I597" s="14"/>
    </row>
    <row r="598" spans="1:9" ht="15.75" customHeight="1" x14ac:dyDescent="0.25">
      <c r="A598" s="16" t="s">
        <v>39</v>
      </c>
      <c r="B598" s="21">
        <v>44429</v>
      </c>
      <c r="C598" s="16" t="s">
        <v>4</v>
      </c>
      <c r="D598" s="17">
        <v>99.5</v>
      </c>
      <c r="E598" s="18">
        <v>1.6964999999999999</v>
      </c>
      <c r="F598" s="18">
        <v>9.9470000000000003E-2</v>
      </c>
      <c r="G598" s="16" t="s">
        <v>80</v>
      </c>
      <c r="H598" s="20">
        <f>InputData[[#This Row],[Transacted Units]]*InputData[[#This Row],[Transacted Price (per unit)]]</f>
        <v>168.80175</v>
      </c>
      <c r="I598" s="14"/>
    </row>
    <row r="599" spans="1:9" ht="15.75" customHeight="1" x14ac:dyDescent="0.25">
      <c r="A599" s="16" t="s">
        <v>39</v>
      </c>
      <c r="B599" s="21">
        <v>44428</v>
      </c>
      <c r="C599" s="16" t="s">
        <v>4</v>
      </c>
      <c r="D599" s="17">
        <v>64.900000000000006</v>
      </c>
      <c r="E599" s="18">
        <v>1.7329000000000001</v>
      </c>
      <c r="F599" s="18">
        <v>6.4930000000000002E-2</v>
      </c>
      <c r="G599" s="16" t="s">
        <v>80</v>
      </c>
      <c r="H599" s="20">
        <f>InputData[[#This Row],[Transacted Units]]*InputData[[#This Row],[Transacted Price (per unit)]]</f>
        <v>112.46521000000001</v>
      </c>
      <c r="I599" s="14"/>
    </row>
    <row r="600" spans="1:9" ht="15.75" customHeight="1" x14ac:dyDescent="0.25">
      <c r="A600" s="16" t="s">
        <v>39</v>
      </c>
      <c r="B600" s="21">
        <v>44428</v>
      </c>
      <c r="C600" s="16" t="s">
        <v>4</v>
      </c>
      <c r="D600" s="17">
        <v>42.8</v>
      </c>
      <c r="E600" s="18">
        <v>1.752</v>
      </c>
      <c r="F600" s="18">
        <v>4.2810000000000001E-2</v>
      </c>
      <c r="G600" s="16" t="s">
        <v>80</v>
      </c>
      <c r="H600" s="20">
        <f>InputData[[#This Row],[Transacted Units]]*InputData[[#This Row],[Transacted Price (per unit)]]</f>
        <v>74.985599999999991</v>
      </c>
      <c r="I600" s="14"/>
    </row>
    <row r="601" spans="1:9" ht="15.75" customHeight="1" x14ac:dyDescent="0.25">
      <c r="A601" s="16" t="s">
        <v>39</v>
      </c>
      <c r="B601" s="21">
        <v>44428</v>
      </c>
      <c r="C601" s="16" t="s">
        <v>4</v>
      </c>
      <c r="D601" s="17">
        <v>28.4</v>
      </c>
      <c r="E601" s="18">
        <v>1.7621</v>
      </c>
      <c r="F601" s="18">
        <v>2.8379999999999999E-2</v>
      </c>
      <c r="G601" s="16" t="s">
        <v>80</v>
      </c>
      <c r="H601" s="20">
        <f>InputData[[#This Row],[Transacted Units]]*InputData[[#This Row],[Transacted Price (per unit)]]</f>
        <v>50.043639999999996</v>
      </c>
      <c r="I601" s="14"/>
    </row>
    <row r="602" spans="1:9" ht="15.75" customHeight="1" x14ac:dyDescent="0.25">
      <c r="A602" s="16" t="s">
        <v>39</v>
      </c>
      <c r="B602" s="21">
        <v>44428</v>
      </c>
      <c r="C602" s="16" t="s">
        <v>4</v>
      </c>
      <c r="D602" s="17">
        <v>28.3</v>
      </c>
      <c r="E602" s="18">
        <v>1.7657</v>
      </c>
      <c r="F602" s="18">
        <v>2.8320000000000001E-2</v>
      </c>
      <c r="G602" s="16" t="s">
        <v>80</v>
      </c>
      <c r="H602" s="20">
        <f>InputData[[#This Row],[Transacted Units]]*InputData[[#This Row],[Transacted Price (per unit)]]</f>
        <v>49.96931</v>
      </c>
      <c r="I602" s="14"/>
    </row>
    <row r="603" spans="1:9" ht="15.75" customHeight="1" x14ac:dyDescent="0.25">
      <c r="A603" s="16" t="s">
        <v>39</v>
      </c>
      <c r="B603" s="21">
        <v>44428</v>
      </c>
      <c r="C603" s="16" t="s">
        <v>4</v>
      </c>
      <c r="D603" s="17">
        <v>28.9</v>
      </c>
      <c r="E603" s="18">
        <v>1.7292000000000001</v>
      </c>
      <c r="F603" s="18">
        <v>2.8920000000000001E-2</v>
      </c>
      <c r="G603" s="16" t="s">
        <v>80</v>
      </c>
      <c r="H603" s="20">
        <f>InputData[[#This Row],[Transacted Units]]*InputData[[#This Row],[Transacted Price (per unit)]]</f>
        <v>49.973880000000001</v>
      </c>
      <c r="I603" s="14"/>
    </row>
    <row r="604" spans="1:9" ht="15.75" customHeight="1" x14ac:dyDescent="0.25">
      <c r="A604" s="16" t="s">
        <v>39</v>
      </c>
      <c r="B604" s="21">
        <v>44428</v>
      </c>
      <c r="C604" s="16" t="s">
        <v>4</v>
      </c>
      <c r="D604" s="17">
        <v>28.9</v>
      </c>
      <c r="E604" s="18">
        <v>1.7326999999999999</v>
      </c>
      <c r="F604" s="18">
        <v>2.886E-2</v>
      </c>
      <c r="G604" s="16" t="s">
        <v>80</v>
      </c>
      <c r="H604" s="20">
        <f>InputData[[#This Row],[Transacted Units]]*InputData[[#This Row],[Transacted Price (per unit)]]</f>
        <v>50.075029999999998</v>
      </c>
      <c r="I604" s="14"/>
    </row>
    <row r="605" spans="1:9" ht="15.75" customHeight="1" x14ac:dyDescent="0.25">
      <c r="A605" s="16" t="s">
        <v>39</v>
      </c>
      <c r="B605" s="21">
        <v>44425</v>
      </c>
      <c r="C605" s="16" t="s">
        <v>4</v>
      </c>
      <c r="D605" s="17">
        <v>22.5</v>
      </c>
      <c r="E605" s="18">
        <v>1.5206999999999999</v>
      </c>
      <c r="F605" s="18">
        <v>2.2460000000000001E-2</v>
      </c>
      <c r="G605" s="16" t="s">
        <v>80</v>
      </c>
      <c r="H605" s="20">
        <f>InputData[[#This Row],[Transacted Units]]*InputData[[#This Row],[Transacted Price (per unit)]]</f>
        <v>34.21575</v>
      </c>
      <c r="I605" s="14"/>
    </row>
    <row r="606" spans="1:9" ht="15.75" customHeight="1" x14ac:dyDescent="0.25">
      <c r="A606" s="16" t="s">
        <v>39</v>
      </c>
      <c r="B606" s="21">
        <v>44425</v>
      </c>
      <c r="C606" s="16" t="s">
        <v>4</v>
      </c>
      <c r="D606" s="17">
        <v>227.2</v>
      </c>
      <c r="E606" s="18">
        <v>1.5206999999999999</v>
      </c>
      <c r="F606" s="18">
        <v>0.22722000000000001</v>
      </c>
      <c r="G606" s="16" t="s">
        <v>80</v>
      </c>
      <c r="H606" s="20">
        <f>InputData[[#This Row],[Transacted Units]]*InputData[[#This Row],[Transacted Price (per unit)]]</f>
        <v>345.50303999999994</v>
      </c>
      <c r="I606" s="14"/>
    </row>
    <row r="607" spans="1:9" ht="15.75" customHeight="1" x14ac:dyDescent="0.25">
      <c r="A607" s="16" t="s">
        <v>39</v>
      </c>
      <c r="B607" s="21">
        <v>44424</v>
      </c>
      <c r="C607" s="16" t="s">
        <v>4</v>
      </c>
      <c r="D607" s="17">
        <v>47.6</v>
      </c>
      <c r="E607" s="18">
        <v>1.6541999999999999</v>
      </c>
      <c r="F607" s="18">
        <v>4.761E-2</v>
      </c>
      <c r="G607" s="16" t="s">
        <v>80</v>
      </c>
      <c r="H607" s="20">
        <f>InputData[[#This Row],[Transacted Units]]*InputData[[#This Row],[Transacted Price (per unit)]]</f>
        <v>78.739919999999998</v>
      </c>
      <c r="I607" s="14"/>
    </row>
    <row r="608" spans="1:9" ht="15.75" customHeight="1" x14ac:dyDescent="0.25">
      <c r="A608" s="16" t="s">
        <v>39</v>
      </c>
      <c r="B608" s="21">
        <v>44424</v>
      </c>
      <c r="C608" s="16" t="s">
        <v>4</v>
      </c>
      <c r="D608" s="17">
        <v>105.4</v>
      </c>
      <c r="E608" s="18">
        <v>1.6541999999999999</v>
      </c>
      <c r="F608" s="18">
        <v>0.10541</v>
      </c>
      <c r="G608" s="16" t="s">
        <v>80</v>
      </c>
      <c r="H608" s="20">
        <f>InputData[[#This Row],[Transacted Units]]*InputData[[#This Row],[Transacted Price (per unit)]]</f>
        <v>174.35267999999999</v>
      </c>
      <c r="I608" s="14"/>
    </row>
    <row r="609" spans="1:9" ht="15.75" customHeight="1" x14ac:dyDescent="0.25">
      <c r="A609" s="16" t="s">
        <v>39</v>
      </c>
      <c r="B609" s="21">
        <v>44424</v>
      </c>
      <c r="C609" s="16" t="s">
        <v>4</v>
      </c>
      <c r="D609" s="17">
        <v>97.9</v>
      </c>
      <c r="E609" s="18">
        <v>1.7243999999999999</v>
      </c>
      <c r="F609" s="18">
        <v>9.7869999999999999E-2</v>
      </c>
      <c r="G609" s="16" t="s">
        <v>80</v>
      </c>
      <c r="H609" s="20">
        <f>InputData[[#This Row],[Transacted Units]]*InputData[[#This Row],[Transacted Price (per unit)]]</f>
        <v>168.81876</v>
      </c>
      <c r="I609" s="14"/>
    </row>
    <row r="610" spans="1:9" ht="15.75" customHeight="1" x14ac:dyDescent="0.25">
      <c r="A610" s="16" t="s">
        <v>39</v>
      </c>
      <c r="B610" s="21">
        <v>44424</v>
      </c>
      <c r="C610" s="16" t="s">
        <v>4</v>
      </c>
      <c r="D610" s="17">
        <v>63.9</v>
      </c>
      <c r="E610" s="18">
        <v>1.7614000000000001</v>
      </c>
      <c r="F610" s="18">
        <v>6.3869999999999996E-2</v>
      </c>
      <c r="G610" s="16" t="s">
        <v>80</v>
      </c>
      <c r="H610" s="20">
        <f>InputData[[#This Row],[Transacted Units]]*InputData[[#This Row],[Transacted Price (per unit)]]</f>
        <v>112.55346</v>
      </c>
      <c r="I610" s="14"/>
    </row>
    <row r="611" spans="1:9" ht="15.75" customHeight="1" x14ac:dyDescent="0.25">
      <c r="A611" s="16" t="s">
        <v>39</v>
      </c>
      <c r="B611" s="21">
        <v>44424</v>
      </c>
      <c r="C611" s="16" t="s">
        <v>4</v>
      </c>
      <c r="D611" s="17">
        <v>42.1</v>
      </c>
      <c r="E611" s="18">
        <v>1.7807999999999999</v>
      </c>
      <c r="F611" s="18">
        <v>4.2119999999999998E-2</v>
      </c>
      <c r="G611" s="16" t="s">
        <v>80</v>
      </c>
      <c r="H611" s="20">
        <f>InputData[[#This Row],[Transacted Units]]*InputData[[#This Row],[Transacted Price (per unit)]]</f>
        <v>74.971680000000006</v>
      </c>
      <c r="I611" s="14"/>
    </row>
    <row r="612" spans="1:9" ht="15.75" customHeight="1" x14ac:dyDescent="0.25">
      <c r="A612" s="16" t="s">
        <v>39</v>
      </c>
      <c r="B612" s="21">
        <v>44424</v>
      </c>
      <c r="C612" s="16" t="s">
        <v>4</v>
      </c>
      <c r="D612" s="17">
        <v>27.9</v>
      </c>
      <c r="E612" s="18">
        <v>1.7910999999999999</v>
      </c>
      <c r="F612" s="18">
        <v>2.792E-2</v>
      </c>
      <c r="G612" s="16" t="s">
        <v>80</v>
      </c>
      <c r="H612" s="20">
        <f>InputData[[#This Row],[Transacted Units]]*InputData[[#This Row],[Transacted Price (per unit)]]</f>
        <v>49.971689999999995</v>
      </c>
      <c r="I612" s="14"/>
    </row>
    <row r="613" spans="1:9" ht="15.75" customHeight="1" x14ac:dyDescent="0.25">
      <c r="A613" s="16" t="s">
        <v>39</v>
      </c>
      <c r="B613" s="21">
        <v>44424</v>
      </c>
      <c r="C613" s="16" t="s">
        <v>4</v>
      </c>
      <c r="D613" s="17">
        <v>10</v>
      </c>
      <c r="E613" s="18">
        <v>1.7944</v>
      </c>
      <c r="F613" s="18">
        <v>0.01</v>
      </c>
      <c r="G613" s="16" t="s">
        <v>80</v>
      </c>
      <c r="H613" s="20">
        <f>InputData[[#This Row],[Transacted Units]]*InputData[[#This Row],[Transacted Price (per unit)]]</f>
        <v>17.943999999999999</v>
      </c>
      <c r="I613" s="14"/>
    </row>
    <row r="614" spans="1:9" ht="15.75" customHeight="1" x14ac:dyDescent="0.25">
      <c r="A614" s="16" t="s">
        <v>39</v>
      </c>
      <c r="B614" s="21">
        <v>44424</v>
      </c>
      <c r="C614" s="16" t="s">
        <v>4</v>
      </c>
      <c r="D614" s="17">
        <v>17.899999999999999</v>
      </c>
      <c r="E614" s="18">
        <v>1.7948999999999999</v>
      </c>
      <c r="F614" s="18">
        <v>1.787E-2</v>
      </c>
      <c r="G614" s="16" t="s">
        <v>80</v>
      </c>
      <c r="H614" s="20">
        <f>InputData[[#This Row],[Transacted Units]]*InputData[[#This Row],[Transacted Price (per unit)]]</f>
        <v>32.128709999999998</v>
      </c>
      <c r="I614" s="14"/>
    </row>
    <row r="615" spans="1:9" ht="15.75" customHeight="1" x14ac:dyDescent="0.25">
      <c r="A615" s="16" t="s">
        <v>39</v>
      </c>
      <c r="B615" s="21">
        <v>44423</v>
      </c>
      <c r="C615" s="16" t="s">
        <v>4</v>
      </c>
      <c r="D615" s="17">
        <v>64.400000000000006</v>
      </c>
      <c r="E615" s="18">
        <v>1.7467999999999999</v>
      </c>
      <c r="F615" s="18">
        <v>6.4409999999999995E-2</v>
      </c>
      <c r="G615" s="16" t="s">
        <v>80</v>
      </c>
      <c r="H615" s="20">
        <f>InputData[[#This Row],[Transacted Units]]*InputData[[#This Row],[Transacted Price (per unit)]]</f>
        <v>112.49392</v>
      </c>
      <c r="I615" s="14"/>
    </row>
    <row r="616" spans="1:9" ht="15.75" customHeight="1" x14ac:dyDescent="0.25">
      <c r="A616" s="16" t="s">
        <v>39</v>
      </c>
      <c r="B616" s="21">
        <v>44423</v>
      </c>
      <c r="C616" s="16" t="s">
        <v>4</v>
      </c>
      <c r="D616" s="17">
        <v>42.5</v>
      </c>
      <c r="E616" s="18">
        <v>1.7661</v>
      </c>
      <c r="F616" s="18">
        <v>4.2470000000000001E-2</v>
      </c>
      <c r="G616" s="16" t="s">
        <v>80</v>
      </c>
      <c r="H616" s="20">
        <f>InputData[[#This Row],[Transacted Units]]*InputData[[#This Row],[Transacted Price (per unit)]]</f>
        <v>75.059250000000006</v>
      </c>
      <c r="I616" s="14"/>
    </row>
    <row r="617" spans="1:9" ht="15.75" customHeight="1" x14ac:dyDescent="0.25">
      <c r="A617" s="16" t="s">
        <v>39</v>
      </c>
      <c r="B617" s="21">
        <v>44423</v>
      </c>
      <c r="C617" s="16" t="s">
        <v>4</v>
      </c>
      <c r="D617" s="17">
        <v>28.2</v>
      </c>
      <c r="E617" s="18">
        <v>1.7763</v>
      </c>
      <c r="F617" s="18">
        <v>2.8150000000000001E-2</v>
      </c>
      <c r="G617" s="16" t="s">
        <v>80</v>
      </c>
      <c r="H617" s="20">
        <f>InputData[[#This Row],[Transacted Units]]*InputData[[#This Row],[Transacted Price (per unit)]]</f>
        <v>50.091659999999997</v>
      </c>
      <c r="I617" s="14"/>
    </row>
    <row r="618" spans="1:9" ht="15.75" customHeight="1" x14ac:dyDescent="0.25">
      <c r="A618" s="16" t="s">
        <v>39</v>
      </c>
      <c r="B618" s="21">
        <v>44423</v>
      </c>
      <c r="C618" s="16" t="s">
        <v>4</v>
      </c>
      <c r="D618" s="17">
        <v>28.1</v>
      </c>
      <c r="E618" s="18">
        <v>1.7799</v>
      </c>
      <c r="F618" s="18">
        <v>2.811E-2</v>
      </c>
      <c r="G618" s="16" t="s">
        <v>80</v>
      </c>
      <c r="H618" s="20">
        <f>InputData[[#This Row],[Transacted Units]]*InputData[[#This Row],[Transacted Price (per unit)]]</f>
        <v>50.015190000000004</v>
      </c>
      <c r="I618" s="14"/>
    </row>
    <row r="619" spans="1:9" ht="15.75" customHeight="1" x14ac:dyDescent="0.25">
      <c r="A619" s="16" t="s">
        <v>39</v>
      </c>
      <c r="B619" s="21">
        <v>44423</v>
      </c>
      <c r="C619" s="16" t="s">
        <v>4</v>
      </c>
      <c r="D619" s="17">
        <v>98.3</v>
      </c>
      <c r="E619" s="18">
        <v>1.7174</v>
      </c>
      <c r="F619" s="18">
        <v>9.826E-2</v>
      </c>
      <c r="G619" s="16" t="s">
        <v>80</v>
      </c>
      <c r="H619" s="20">
        <f>InputData[[#This Row],[Transacted Units]]*InputData[[#This Row],[Transacted Price (per unit)]]</f>
        <v>168.82042000000001</v>
      </c>
      <c r="I619" s="14"/>
    </row>
    <row r="620" spans="1:9" ht="15.75" customHeight="1" x14ac:dyDescent="0.25">
      <c r="A620" s="16" t="s">
        <v>39</v>
      </c>
      <c r="B620" s="21">
        <v>44423</v>
      </c>
      <c r="C620" s="16" t="s">
        <v>4</v>
      </c>
      <c r="D620" s="17">
        <v>64.099999999999994</v>
      </c>
      <c r="E620" s="18">
        <v>1.7542</v>
      </c>
      <c r="F620" s="18">
        <v>6.4140000000000003E-2</v>
      </c>
      <c r="G620" s="16" t="s">
        <v>80</v>
      </c>
      <c r="H620" s="20">
        <f>InputData[[#This Row],[Transacted Units]]*InputData[[#This Row],[Transacted Price (per unit)]]</f>
        <v>112.44421999999999</v>
      </c>
      <c r="I620" s="14"/>
    </row>
    <row r="621" spans="1:9" ht="15.75" customHeight="1" x14ac:dyDescent="0.25">
      <c r="A621" s="16" t="s">
        <v>39</v>
      </c>
      <c r="B621" s="21">
        <v>44423</v>
      </c>
      <c r="C621" s="16" t="s">
        <v>4</v>
      </c>
      <c r="D621" s="17">
        <v>42.3</v>
      </c>
      <c r="E621" s="18">
        <v>1.7736000000000001</v>
      </c>
      <c r="F621" s="18">
        <v>4.2290000000000001E-2</v>
      </c>
      <c r="G621" s="16" t="s">
        <v>80</v>
      </c>
      <c r="H621" s="20">
        <f>InputData[[#This Row],[Transacted Units]]*InputData[[#This Row],[Transacted Price (per unit)]]</f>
        <v>75.02328</v>
      </c>
      <c r="I621" s="14"/>
    </row>
    <row r="622" spans="1:9" ht="15.75" customHeight="1" x14ac:dyDescent="0.25">
      <c r="A622" s="16" t="s">
        <v>39</v>
      </c>
      <c r="B622" s="21">
        <v>44423</v>
      </c>
      <c r="C622" s="16" t="s">
        <v>4</v>
      </c>
      <c r="D622" s="17">
        <v>28</v>
      </c>
      <c r="E622" s="18">
        <v>1.7838000000000001</v>
      </c>
      <c r="F622" s="18">
        <v>2.8039999999999999E-2</v>
      </c>
      <c r="G622" s="16" t="s">
        <v>80</v>
      </c>
      <c r="H622" s="20">
        <f>InputData[[#This Row],[Transacted Units]]*InputData[[#This Row],[Transacted Price (per unit)]]</f>
        <v>49.946400000000004</v>
      </c>
      <c r="I622" s="14"/>
    </row>
    <row r="623" spans="1:9" ht="15.75" customHeight="1" x14ac:dyDescent="0.25">
      <c r="A623" s="16" t="s">
        <v>39</v>
      </c>
      <c r="B623" s="21">
        <v>44423</v>
      </c>
      <c r="C623" s="16" t="s">
        <v>4</v>
      </c>
      <c r="D623" s="17">
        <v>22.3</v>
      </c>
      <c r="E623" s="18">
        <v>1.7874000000000001</v>
      </c>
      <c r="F623" s="18">
        <v>2.231E-2</v>
      </c>
      <c r="G623" s="16" t="s">
        <v>80</v>
      </c>
      <c r="H623" s="20">
        <f>InputData[[#This Row],[Transacted Units]]*InputData[[#This Row],[Transacted Price (per unit)]]</f>
        <v>39.859020000000001</v>
      </c>
      <c r="I623" s="14"/>
    </row>
    <row r="624" spans="1:9" ht="15.75" customHeight="1" x14ac:dyDescent="0.25">
      <c r="A624" s="16" t="s">
        <v>39</v>
      </c>
      <c r="B624" s="21">
        <v>44423</v>
      </c>
      <c r="C624" s="16" t="s">
        <v>4</v>
      </c>
      <c r="D624" s="17">
        <v>5.7</v>
      </c>
      <c r="E624" s="18">
        <v>1.7873000000000001</v>
      </c>
      <c r="F624" s="18">
        <v>5.7299999999999999E-3</v>
      </c>
      <c r="G624" s="16" t="s">
        <v>80</v>
      </c>
      <c r="H624" s="20">
        <f>InputData[[#This Row],[Transacted Units]]*InputData[[#This Row],[Transacted Price (per unit)]]</f>
        <v>10.187610000000001</v>
      </c>
      <c r="I624" s="14"/>
    </row>
    <row r="625" spans="1:9" ht="15.75" customHeight="1" x14ac:dyDescent="0.25">
      <c r="A625" s="16" t="s">
        <v>39</v>
      </c>
      <c r="B625" s="21">
        <v>44423</v>
      </c>
      <c r="C625" s="16" t="s">
        <v>4</v>
      </c>
      <c r="D625" s="17">
        <v>150.30000000000001</v>
      </c>
      <c r="E625" s="18">
        <v>1.6838</v>
      </c>
      <c r="F625" s="18">
        <v>0.15032999999999999</v>
      </c>
      <c r="G625" s="16" t="s">
        <v>80</v>
      </c>
      <c r="H625" s="20">
        <f>InputData[[#This Row],[Transacted Units]]*InputData[[#This Row],[Transacted Price (per unit)]]</f>
        <v>253.07514</v>
      </c>
      <c r="I625" s="14"/>
    </row>
    <row r="626" spans="1:9" ht="15.75" customHeight="1" x14ac:dyDescent="0.25">
      <c r="A626" s="16" t="s">
        <v>39</v>
      </c>
      <c r="B626" s="21">
        <v>44423</v>
      </c>
      <c r="C626" s="16" t="s">
        <v>4</v>
      </c>
      <c r="D626" s="17">
        <v>96.1</v>
      </c>
      <c r="E626" s="18">
        <v>1.7553000000000001</v>
      </c>
      <c r="F626" s="18">
        <v>9.6140000000000003E-2</v>
      </c>
      <c r="G626" s="16" t="s">
        <v>80</v>
      </c>
      <c r="H626" s="20">
        <f>InputData[[#This Row],[Transacted Units]]*InputData[[#This Row],[Transacted Price (per unit)]]</f>
        <v>168.68432999999999</v>
      </c>
      <c r="I626" s="14"/>
    </row>
    <row r="627" spans="1:9" ht="15.75" customHeight="1" x14ac:dyDescent="0.25">
      <c r="A627" s="16" t="s">
        <v>39</v>
      </c>
      <c r="B627" s="21">
        <v>44423</v>
      </c>
      <c r="C627" s="16" t="s">
        <v>4</v>
      </c>
      <c r="D627" s="17">
        <v>62.8</v>
      </c>
      <c r="E627" s="18">
        <v>1.7929999999999999</v>
      </c>
      <c r="F627" s="18">
        <v>6.275E-2</v>
      </c>
      <c r="G627" s="16" t="s">
        <v>80</v>
      </c>
      <c r="H627" s="20">
        <f>InputData[[#This Row],[Transacted Units]]*InputData[[#This Row],[Transacted Price (per unit)]]</f>
        <v>112.60039999999999</v>
      </c>
      <c r="I627" s="14"/>
    </row>
    <row r="628" spans="1:9" ht="15.75" customHeight="1" x14ac:dyDescent="0.25">
      <c r="A628" s="16" t="s">
        <v>39</v>
      </c>
      <c r="B628" s="21">
        <v>44423</v>
      </c>
      <c r="C628" s="16" t="s">
        <v>4</v>
      </c>
      <c r="D628" s="17">
        <v>41.4</v>
      </c>
      <c r="E628" s="18">
        <v>1.8128</v>
      </c>
      <c r="F628" s="18">
        <v>4.138E-2</v>
      </c>
      <c r="G628" s="16" t="s">
        <v>80</v>
      </c>
      <c r="H628" s="20">
        <f>InputData[[#This Row],[Transacted Units]]*InputData[[#This Row],[Transacted Price (per unit)]]</f>
        <v>75.04992</v>
      </c>
      <c r="I628" s="14"/>
    </row>
    <row r="629" spans="1:9" ht="15.75" customHeight="1" x14ac:dyDescent="0.25">
      <c r="A629" s="16" t="s">
        <v>39</v>
      </c>
      <c r="B629" s="21">
        <v>44423</v>
      </c>
      <c r="C629" s="16" t="s">
        <v>4</v>
      </c>
      <c r="D629" s="17">
        <v>27.4</v>
      </c>
      <c r="E629" s="18">
        <v>1.8231999999999999</v>
      </c>
      <c r="F629" s="18">
        <v>2.743E-2</v>
      </c>
      <c r="G629" s="16" t="s">
        <v>80</v>
      </c>
      <c r="H629" s="20">
        <f>InputData[[#This Row],[Transacted Units]]*InputData[[#This Row],[Transacted Price (per unit)]]</f>
        <v>49.955679999999994</v>
      </c>
      <c r="I629" s="14"/>
    </row>
    <row r="630" spans="1:9" ht="15.75" customHeight="1" x14ac:dyDescent="0.25">
      <c r="A630" s="16" t="s">
        <v>39</v>
      </c>
      <c r="B630" s="21">
        <v>44423</v>
      </c>
      <c r="C630" s="16" t="s">
        <v>4</v>
      </c>
      <c r="D630" s="17">
        <v>27.4</v>
      </c>
      <c r="E630" s="18">
        <v>1.8269</v>
      </c>
      <c r="F630" s="18">
        <v>2.7369999999999998E-2</v>
      </c>
      <c r="G630" s="16" t="s">
        <v>80</v>
      </c>
      <c r="H630" s="20">
        <f>InputData[[#This Row],[Transacted Units]]*InputData[[#This Row],[Transacted Price (per unit)]]</f>
        <v>50.05706</v>
      </c>
      <c r="I630" s="14"/>
    </row>
    <row r="631" spans="1:9" ht="15.75" customHeight="1" x14ac:dyDescent="0.25">
      <c r="A631" s="16" t="s">
        <v>39</v>
      </c>
      <c r="B631" s="21">
        <v>44423</v>
      </c>
      <c r="C631" s="16" t="s">
        <v>4</v>
      </c>
      <c r="D631" s="17">
        <v>95.9</v>
      </c>
      <c r="E631" s="18">
        <v>1.7599</v>
      </c>
      <c r="F631" s="18">
        <v>9.5890000000000003E-2</v>
      </c>
      <c r="G631" s="16" t="s">
        <v>80</v>
      </c>
      <c r="H631" s="20">
        <f>InputData[[#This Row],[Transacted Units]]*InputData[[#This Row],[Transacted Price (per unit)]]</f>
        <v>168.77441000000002</v>
      </c>
      <c r="I631" s="14"/>
    </row>
    <row r="632" spans="1:9" ht="15.75" customHeight="1" x14ac:dyDescent="0.25">
      <c r="A632" s="16" t="s">
        <v>39</v>
      </c>
      <c r="B632" s="21">
        <v>44423</v>
      </c>
      <c r="C632" s="16" t="s">
        <v>4</v>
      </c>
      <c r="D632" s="17">
        <v>62.6</v>
      </c>
      <c r="E632" s="18">
        <v>1.7977000000000001</v>
      </c>
      <c r="F632" s="18">
        <v>6.2579999999999997E-2</v>
      </c>
      <c r="G632" s="16" t="s">
        <v>80</v>
      </c>
      <c r="H632" s="20">
        <f>InputData[[#This Row],[Transacted Units]]*InputData[[#This Row],[Transacted Price (per unit)]]</f>
        <v>112.53602000000001</v>
      </c>
      <c r="I632" s="14"/>
    </row>
    <row r="633" spans="1:9" ht="15.75" customHeight="1" x14ac:dyDescent="0.25">
      <c r="A633" s="16" t="s">
        <v>39</v>
      </c>
      <c r="B633" s="21">
        <v>44423</v>
      </c>
      <c r="C633" s="16" t="s">
        <v>4</v>
      </c>
      <c r="D633" s="17">
        <v>41.3</v>
      </c>
      <c r="E633" s="18">
        <v>1.8174999999999999</v>
      </c>
      <c r="F633" s="18">
        <v>4.1270000000000001E-2</v>
      </c>
      <c r="G633" s="16" t="s">
        <v>80</v>
      </c>
      <c r="H633" s="20">
        <f>InputData[[#This Row],[Transacted Units]]*InputData[[#This Row],[Transacted Price (per unit)]]</f>
        <v>75.062749999999994</v>
      </c>
      <c r="I633" s="14"/>
    </row>
    <row r="634" spans="1:9" ht="15.75" customHeight="1" x14ac:dyDescent="0.25">
      <c r="A634" s="16" t="s">
        <v>39</v>
      </c>
      <c r="B634" s="21">
        <v>44423</v>
      </c>
      <c r="C634" s="16" t="s">
        <v>4</v>
      </c>
      <c r="D634" s="17">
        <v>27.4</v>
      </c>
      <c r="E634" s="18">
        <v>1.8280000000000001</v>
      </c>
      <c r="F634" s="18">
        <v>2.7359999999999999E-2</v>
      </c>
      <c r="G634" s="16" t="s">
        <v>80</v>
      </c>
      <c r="H634" s="20">
        <f>InputData[[#This Row],[Transacted Units]]*InputData[[#This Row],[Transacted Price (per unit)]]</f>
        <v>50.087200000000003</v>
      </c>
      <c r="I634" s="14"/>
    </row>
    <row r="635" spans="1:9" ht="15.75" customHeight="1" x14ac:dyDescent="0.25">
      <c r="A635" s="16" t="s">
        <v>39</v>
      </c>
      <c r="B635" s="21">
        <v>44423</v>
      </c>
      <c r="C635" s="16" t="s">
        <v>4</v>
      </c>
      <c r="D635" s="17">
        <v>27.3</v>
      </c>
      <c r="E635" s="18">
        <v>1.8317000000000001</v>
      </c>
      <c r="F635" s="18">
        <v>2.733E-2</v>
      </c>
      <c r="G635" s="16" t="s">
        <v>80</v>
      </c>
      <c r="H635" s="20">
        <f>InputData[[#This Row],[Transacted Units]]*InputData[[#This Row],[Transacted Price (per unit)]]</f>
        <v>50.005410000000005</v>
      </c>
      <c r="I635" s="14"/>
    </row>
    <row r="636" spans="1:9" ht="15.75" customHeight="1" x14ac:dyDescent="0.25">
      <c r="A636" s="16" t="s">
        <v>39</v>
      </c>
      <c r="B636" s="21">
        <v>44423</v>
      </c>
      <c r="C636" s="16" t="s">
        <v>4</v>
      </c>
      <c r="D636" s="17">
        <v>27.6</v>
      </c>
      <c r="E636" s="18">
        <v>1.8139000000000001</v>
      </c>
      <c r="F636" s="18">
        <v>2.7570000000000001E-2</v>
      </c>
      <c r="G636" s="16" t="s">
        <v>80</v>
      </c>
      <c r="H636" s="20">
        <f>InputData[[#This Row],[Transacted Units]]*InputData[[#This Row],[Transacted Price (per unit)]]</f>
        <v>50.063640000000007</v>
      </c>
      <c r="I636" s="14"/>
    </row>
    <row r="637" spans="1:9" ht="15.75" customHeight="1" x14ac:dyDescent="0.25">
      <c r="A637" s="16" t="s">
        <v>39</v>
      </c>
      <c r="B637" s="21">
        <v>44423</v>
      </c>
      <c r="C637" s="16" t="s">
        <v>4</v>
      </c>
      <c r="D637" s="17">
        <v>27.5</v>
      </c>
      <c r="E637" s="18">
        <v>1.8176000000000001</v>
      </c>
      <c r="F637" s="18">
        <v>2.75E-2</v>
      </c>
      <c r="G637" s="16" t="s">
        <v>80</v>
      </c>
      <c r="H637" s="20">
        <f>InputData[[#This Row],[Transacted Units]]*InputData[[#This Row],[Transacted Price (per unit)]]</f>
        <v>49.984000000000002</v>
      </c>
      <c r="I637" s="14"/>
    </row>
    <row r="638" spans="1:9" ht="15.75" customHeight="1" x14ac:dyDescent="0.25">
      <c r="A638" s="16" t="s">
        <v>39</v>
      </c>
      <c r="B638" s="21">
        <v>44423</v>
      </c>
      <c r="C638" s="16" t="s">
        <v>4</v>
      </c>
      <c r="D638" s="17">
        <v>42.1</v>
      </c>
      <c r="E638" s="18">
        <v>1.7802</v>
      </c>
      <c r="F638" s="18">
        <v>4.2139999999999997E-2</v>
      </c>
      <c r="G638" s="16" t="s">
        <v>80</v>
      </c>
      <c r="H638" s="20">
        <f>InputData[[#This Row],[Transacted Units]]*InputData[[#This Row],[Transacted Price (per unit)]]</f>
        <v>74.946420000000003</v>
      </c>
      <c r="I638" s="14"/>
    </row>
    <row r="639" spans="1:9" ht="15.75" customHeight="1" x14ac:dyDescent="0.25">
      <c r="A639" s="16" t="s">
        <v>39</v>
      </c>
      <c r="B639" s="21">
        <v>44423</v>
      </c>
      <c r="C639" s="16" t="s">
        <v>4</v>
      </c>
      <c r="D639" s="17">
        <v>27.9</v>
      </c>
      <c r="E639" s="18">
        <v>1.7905</v>
      </c>
      <c r="F639" s="18">
        <v>2.793E-2</v>
      </c>
      <c r="G639" s="16" t="s">
        <v>80</v>
      </c>
      <c r="H639" s="20">
        <f>InputData[[#This Row],[Transacted Units]]*InputData[[#This Row],[Transacted Price (per unit)]]</f>
        <v>49.954949999999997</v>
      </c>
      <c r="I639" s="14"/>
    </row>
    <row r="640" spans="1:9" ht="15.75" customHeight="1" x14ac:dyDescent="0.25">
      <c r="A640" s="16" t="s">
        <v>39</v>
      </c>
      <c r="B640" s="21">
        <v>44423</v>
      </c>
      <c r="C640" s="16" t="s">
        <v>4</v>
      </c>
      <c r="D640" s="17">
        <v>27.9</v>
      </c>
      <c r="E640" s="18">
        <v>1.7941</v>
      </c>
      <c r="F640" s="18">
        <v>2.792E-2</v>
      </c>
      <c r="G640" s="16" t="s">
        <v>80</v>
      </c>
      <c r="H640" s="20">
        <f>InputData[[#This Row],[Transacted Units]]*InputData[[#This Row],[Transacted Price (per unit)]]</f>
        <v>50.055389999999996</v>
      </c>
      <c r="I640" s="14"/>
    </row>
    <row r="641" spans="1:9" ht="15.75" customHeight="1" x14ac:dyDescent="0.25">
      <c r="A641" s="16" t="s">
        <v>39</v>
      </c>
      <c r="B641" s="21">
        <v>44422</v>
      </c>
      <c r="C641" s="16" t="s">
        <v>4</v>
      </c>
      <c r="D641" s="17">
        <v>64.400000000000006</v>
      </c>
      <c r="E641" s="18">
        <v>1.7459</v>
      </c>
      <c r="F641" s="18">
        <v>6.4439999999999997E-2</v>
      </c>
      <c r="G641" s="16" t="s">
        <v>80</v>
      </c>
      <c r="H641" s="20">
        <f>InputData[[#This Row],[Transacted Units]]*InputData[[#This Row],[Transacted Price (per unit)]]</f>
        <v>112.43596000000001</v>
      </c>
      <c r="I641" s="14"/>
    </row>
    <row r="642" spans="1:9" ht="15.75" customHeight="1" x14ac:dyDescent="0.25">
      <c r="A642" s="16" t="s">
        <v>39</v>
      </c>
      <c r="B642" s="21">
        <v>44422</v>
      </c>
      <c r="C642" s="16" t="s">
        <v>4</v>
      </c>
      <c r="D642" s="17">
        <v>15.9</v>
      </c>
      <c r="E642" s="18">
        <v>1.7650999999999999</v>
      </c>
      <c r="F642" s="18">
        <v>1.5910000000000001E-2</v>
      </c>
      <c r="G642" s="16" t="s">
        <v>80</v>
      </c>
      <c r="H642" s="20">
        <f>InputData[[#This Row],[Transacted Units]]*InputData[[#This Row],[Transacted Price (per unit)]]</f>
        <v>28.065089999999998</v>
      </c>
      <c r="I642" s="14"/>
    </row>
    <row r="643" spans="1:9" ht="15.75" customHeight="1" x14ac:dyDescent="0.25">
      <c r="A643" s="16" t="s">
        <v>39</v>
      </c>
      <c r="B643" s="21">
        <v>44422</v>
      </c>
      <c r="C643" s="16" t="s">
        <v>4</v>
      </c>
      <c r="D643" s="17">
        <v>15</v>
      </c>
      <c r="E643" s="18">
        <v>1.7650999999999999</v>
      </c>
      <c r="F643" s="18">
        <v>1.498E-2</v>
      </c>
      <c r="G643" s="16" t="s">
        <v>80</v>
      </c>
      <c r="H643" s="20">
        <f>InputData[[#This Row],[Transacted Units]]*InputData[[#This Row],[Transacted Price (per unit)]]</f>
        <v>26.476499999999998</v>
      </c>
      <c r="I643" s="14"/>
    </row>
    <row r="644" spans="1:9" ht="15.75" customHeight="1" x14ac:dyDescent="0.25">
      <c r="A644" s="16" t="s">
        <v>39</v>
      </c>
      <c r="B644" s="21">
        <v>44422</v>
      </c>
      <c r="C644" s="16" t="s">
        <v>4</v>
      </c>
      <c r="D644" s="17">
        <v>11.6</v>
      </c>
      <c r="E644" s="18">
        <v>1.7650999999999999</v>
      </c>
      <c r="F644" s="18">
        <v>1.1610000000000001E-2</v>
      </c>
      <c r="G644" s="16" t="s">
        <v>80</v>
      </c>
      <c r="H644" s="20">
        <f>InputData[[#This Row],[Transacted Units]]*InputData[[#This Row],[Transacted Price (per unit)]]</f>
        <v>20.475159999999999</v>
      </c>
      <c r="I644" s="14"/>
    </row>
    <row r="645" spans="1:9" ht="15.75" customHeight="1" x14ac:dyDescent="0.25">
      <c r="A645" s="16" t="s">
        <v>39</v>
      </c>
      <c r="B645" s="21">
        <v>44422</v>
      </c>
      <c r="C645" s="16" t="s">
        <v>4</v>
      </c>
      <c r="D645" s="17">
        <v>28.2</v>
      </c>
      <c r="E645" s="18">
        <v>1.7753000000000001</v>
      </c>
      <c r="F645" s="18">
        <v>2.8170000000000001E-2</v>
      </c>
      <c r="G645" s="16" t="s">
        <v>80</v>
      </c>
      <c r="H645" s="20">
        <f>InputData[[#This Row],[Transacted Units]]*InputData[[#This Row],[Transacted Price (per unit)]]</f>
        <v>50.063459999999999</v>
      </c>
      <c r="I645" s="14"/>
    </row>
    <row r="646" spans="1:9" ht="15.75" customHeight="1" x14ac:dyDescent="0.25">
      <c r="A646" s="16" t="s">
        <v>39</v>
      </c>
      <c r="B646" s="21">
        <v>44422</v>
      </c>
      <c r="C646" s="16" t="s">
        <v>4</v>
      </c>
      <c r="D646" s="17">
        <v>28.1</v>
      </c>
      <c r="E646" s="18">
        <v>1.7788999999999999</v>
      </c>
      <c r="F646" s="18">
        <v>2.811E-2</v>
      </c>
      <c r="G646" s="16" t="s">
        <v>80</v>
      </c>
      <c r="H646" s="20">
        <f>InputData[[#This Row],[Transacted Units]]*InputData[[#This Row],[Transacted Price (per unit)]]</f>
        <v>49.987090000000002</v>
      </c>
      <c r="I646" s="14"/>
    </row>
    <row r="647" spans="1:9" ht="15.75" customHeight="1" x14ac:dyDescent="0.25">
      <c r="A647" s="16" t="s">
        <v>39</v>
      </c>
      <c r="B647" s="21">
        <v>44422</v>
      </c>
      <c r="C647" s="16" t="s">
        <v>4</v>
      </c>
      <c r="D647" s="17">
        <v>28.6</v>
      </c>
      <c r="E647" s="18">
        <v>1.7497</v>
      </c>
      <c r="F647" s="18">
        <v>2.8580000000000001E-2</v>
      </c>
      <c r="G647" s="16" t="s">
        <v>80</v>
      </c>
      <c r="H647" s="20">
        <f>InputData[[#This Row],[Transacted Units]]*InputData[[#This Row],[Transacted Price (per unit)]]</f>
        <v>50.041420000000002</v>
      </c>
      <c r="I647" s="14"/>
    </row>
    <row r="648" spans="1:9" ht="15.75" customHeight="1" x14ac:dyDescent="0.25">
      <c r="A648" s="16" t="s">
        <v>39</v>
      </c>
      <c r="B648" s="21">
        <v>44422</v>
      </c>
      <c r="C648" s="16" t="s">
        <v>4</v>
      </c>
      <c r="D648" s="17">
        <v>28.5</v>
      </c>
      <c r="E648" s="18">
        <v>1.7533000000000001</v>
      </c>
      <c r="F648" s="18">
        <v>2.852E-2</v>
      </c>
      <c r="G648" s="16" t="s">
        <v>80</v>
      </c>
      <c r="H648" s="20">
        <f>InputData[[#This Row],[Transacted Units]]*InputData[[#This Row],[Transacted Price (per unit)]]</f>
        <v>49.969050000000003</v>
      </c>
      <c r="I648" s="14"/>
    </row>
    <row r="649" spans="1:9" ht="15.75" customHeight="1" x14ac:dyDescent="0.25">
      <c r="A649" s="16" t="s">
        <v>39</v>
      </c>
      <c r="B649" s="21">
        <v>44422</v>
      </c>
      <c r="C649" s="16" t="s">
        <v>4</v>
      </c>
      <c r="D649" s="17">
        <v>43.8</v>
      </c>
      <c r="E649" s="18">
        <v>1.7129000000000001</v>
      </c>
      <c r="F649" s="18">
        <v>4.3790000000000003E-2</v>
      </c>
      <c r="G649" s="16" t="s">
        <v>80</v>
      </c>
      <c r="H649" s="20">
        <f>InputData[[#This Row],[Transacted Units]]*InputData[[#This Row],[Transacted Price (per unit)]]</f>
        <v>75.025019999999998</v>
      </c>
      <c r="I649" s="14"/>
    </row>
    <row r="650" spans="1:9" ht="15.75" customHeight="1" x14ac:dyDescent="0.25">
      <c r="A650" s="16" t="s">
        <v>39</v>
      </c>
      <c r="B650" s="21">
        <v>44422</v>
      </c>
      <c r="C650" s="16" t="s">
        <v>4</v>
      </c>
      <c r="D650" s="17">
        <v>29</v>
      </c>
      <c r="E650" s="18">
        <v>1.7226999999999999</v>
      </c>
      <c r="F650" s="18">
        <v>2.903E-2</v>
      </c>
      <c r="G650" s="16" t="s">
        <v>80</v>
      </c>
      <c r="H650" s="20">
        <f>InputData[[#This Row],[Transacted Units]]*InputData[[#This Row],[Transacted Price (per unit)]]</f>
        <v>49.958299999999994</v>
      </c>
      <c r="I650" s="14"/>
    </row>
    <row r="651" spans="1:9" ht="15.75" customHeight="1" x14ac:dyDescent="0.25">
      <c r="A651" s="16" t="s">
        <v>39</v>
      </c>
      <c r="B651" s="21">
        <v>44422</v>
      </c>
      <c r="C651" s="16" t="s">
        <v>4</v>
      </c>
      <c r="D651" s="17">
        <v>6</v>
      </c>
      <c r="E651" s="18">
        <v>1.7253000000000001</v>
      </c>
      <c r="F651" s="18">
        <v>5.96E-3</v>
      </c>
      <c r="G651" s="16" t="s">
        <v>80</v>
      </c>
      <c r="H651" s="20">
        <f>InputData[[#This Row],[Transacted Units]]*InputData[[#This Row],[Transacted Price (per unit)]]</f>
        <v>10.351800000000001</v>
      </c>
      <c r="I651" s="14"/>
    </row>
    <row r="652" spans="1:9" ht="15.75" customHeight="1" x14ac:dyDescent="0.25">
      <c r="A652" s="16" t="s">
        <v>39</v>
      </c>
      <c r="B652" s="21">
        <v>44422</v>
      </c>
      <c r="C652" s="16" t="s">
        <v>4</v>
      </c>
      <c r="D652" s="17">
        <v>17.100000000000001</v>
      </c>
      <c r="E652" s="18">
        <v>1.7269000000000001</v>
      </c>
      <c r="F652" s="18">
        <v>1.7069999999999998E-2</v>
      </c>
      <c r="G652" s="16" t="s">
        <v>80</v>
      </c>
      <c r="H652" s="20">
        <f>InputData[[#This Row],[Transacted Units]]*InputData[[#This Row],[Transacted Price (per unit)]]</f>
        <v>29.529990000000005</v>
      </c>
      <c r="I652" s="14"/>
    </row>
    <row r="653" spans="1:9" ht="15.75" customHeight="1" x14ac:dyDescent="0.25">
      <c r="A653" s="16" t="s">
        <v>39</v>
      </c>
      <c r="B653" s="21">
        <v>44422</v>
      </c>
      <c r="C653" s="16" t="s">
        <v>4</v>
      </c>
      <c r="D653" s="17">
        <v>6</v>
      </c>
      <c r="E653" s="18">
        <v>1.7253000000000001</v>
      </c>
      <c r="F653" s="18">
        <v>5.96E-3</v>
      </c>
      <c r="G653" s="16" t="s">
        <v>80</v>
      </c>
      <c r="H653" s="20">
        <f>InputData[[#This Row],[Transacted Units]]*InputData[[#This Row],[Transacted Price (per unit)]]</f>
        <v>10.351800000000001</v>
      </c>
      <c r="I653" s="14"/>
    </row>
    <row r="654" spans="1:9" ht="15.75" customHeight="1" x14ac:dyDescent="0.25">
      <c r="A654" s="16" t="s">
        <v>39</v>
      </c>
      <c r="B654" s="21">
        <v>44422</v>
      </c>
      <c r="C654" s="16" t="s">
        <v>4</v>
      </c>
      <c r="D654" s="17">
        <v>29.4</v>
      </c>
      <c r="E654" s="18">
        <v>1.6988000000000001</v>
      </c>
      <c r="F654" s="18">
        <v>2.9440000000000001E-2</v>
      </c>
      <c r="G654" s="16" t="s">
        <v>80</v>
      </c>
      <c r="H654" s="20">
        <f>InputData[[#This Row],[Transacted Units]]*InputData[[#This Row],[Transacted Price (per unit)]]</f>
        <v>49.944719999999997</v>
      </c>
      <c r="I654" s="14"/>
    </row>
    <row r="655" spans="1:9" ht="15.75" customHeight="1" x14ac:dyDescent="0.25">
      <c r="A655" s="16" t="s">
        <v>39</v>
      </c>
      <c r="B655" s="21">
        <v>44422</v>
      </c>
      <c r="C655" s="16" t="s">
        <v>4</v>
      </c>
      <c r="D655" s="17">
        <v>29.4</v>
      </c>
      <c r="E655" s="18">
        <v>1.7022999999999999</v>
      </c>
      <c r="F655" s="18">
        <v>2.9389999999999999E-2</v>
      </c>
      <c r="G655" s="16" t="s">
        <v>80</v>
      </c>
      <c r="H655" s="20">
        <f>InputData[[#This Row],[Transacted Units]]*InputData[[#This Row],[Transacted Price (per unit)]]</f>
        <v>50.047619999999995</v>
      </c>
      <c r="I655" s="14"/>
    </row>
    <row r="656" spans="1:9" ht="15.75" customHeight="1" x14ac:dyDescent="0.25">
      <c r="A656" s="16" t="s">
        <v>39</v>
      </c>
      <c r="B656" s="21">
        <v>44422</v>
      </c>
      <c r="C656" s="16" t="s">
        <v>4</v>
      </c>
      <c r="D656" s="17">
        <v>25.7</v>
      </c>
      <c r="E656" s="18">
        <v>1.6397999999999999</v>
      </c>
      <c r="F656" s="18">
        <v>2.5669999999999998E-2</v>
      </c>
      <c r="G656" s="16" t="s">
        <v>80</v>
      </c>
      <c r="H656" s="20">
        <f>InputData[[#This Row],[Transacted Units]]*InputData[[#This Row],[Transacted Price (per unit)]]</f>
        <v>42.142859999999999</v>
      </c>
      <c r="I656" s="14"/>
    </row>
    <row r="657" spans="1:9" ht="15.75" customHeight="1" x14ac:dyDescent="0.25">
      <c r="A657" s="16" t="s">
        <v>39</v>
      </c>
      <c r="B657" s="21">
        <v>44422</v>
      </c>
      <c r="C657" s="16" t="s">
        <v>4</v>
      </c>
      <c r="D657" s="17">
        <v>77.2</v>
      </c>
      <c r="E657" s="18">
        <v>1.6397999999999999</v>
      </c>
      <c r="F657" s="18">
        <v>7.7240000000000003E-2</v>
      </c>
      <c r="G657" s="16" t="s">
        <v>80</v>
      </c>
      <c r="H657" s="20">
        <f>InputData[[#This Row],[Transacted Units]]*InputData[[#This Row],[Transacted Price (per unit)]]</f>
        <v>126.59255999999999</v>
      </c>
      <c r="I657" s="14"/>
    </row>
    <row r="658" spans="1:9" ht="15.75" customHeight="1" x14ac:dyDescent="0.25">
      <c r="A658" s="16" t="s">
        <v>39</v>
      </c>
      <c r="B658" s="21">
        <v>44422</v>
      </c>
      <c r="C658" s="16" t="s">
        <v>4</v>
      </c>
      <c r="D658" s="17">
        <v>67.2</v>
      </c>
      <c r="E658" s="18">
        <v>1.675</v>
      </c>
      <c r="F658" s="18">
        <v>6.7169999999999994E-2</v>
      </c>
      <c r="G658" s="16" t="s">
        <v>80</v>
      </c>
      <c r="H658" s="20">
        <f>InputData[[#This Row],[Transacted Units]]*InputData[[#This Row],[Transacted Price (per unit)]]</f>
        <v>112.56</v>
      </c>
      <c r="I658" s="14"/>
    </row>
    <row r="659" spans="1:9" ht="15.75" customHeight="1" x14ac:dyDescent="0.25">
      <c r="A659" s="16" t="s">
        <v>39</v>
      </c>
      <c r="B659" s="21">
        <v>44422</v>
      </c>
      <c r="C659" s="16" t="s">
        <v>4</v>
      </c>
      <c r="D659" s="17">
        <v>44.3</v>
      </c>
      <c r="E659" s="18">
        <v>1.6935</v>
      </c>
      <c r="F659" s="18">
        <v>4.4290000000000003E-2</v>
      </c>
      <c r="G659" s="16" t="s">
        <v>80</v>
      </c>
      <c r="H659" s="20">
        <f>InputData[[#This Row],[Transacted Units]]*InputData[[#This Row],[Transacted Price (per unit)]]</f>
        <v>75.022049999999993</v>
      </c>
      <c r="I659" s="14"/>
    </row>
    <row r="660" spans="1:9" ht="15.75" customHeight="1" x14ac:dyDescent="0.25">
      <c r="A660" s="16" t="s">
        <v>39</v>
      </c>
      <c r="B660" s="21">
        <v>44422</v>
      </c>
      <c r="C660" s="16" t="s">
        <v>4</v>
      </c>
      <c r="D660" s="17">
        <v>29.4</v>
      </c>
      <c r="E660" s="18">
        <v>1.7032</v>
      </c>
      <c r="F660" s="18">
        <v>2.9360000000000001E-2</v>
      </c>
      <c r="G660" s="16" t="s">
        <v>80</v>
      </c>
      <c r="H660" s="20">
        <f>InputData[[#This Row],[Transacted Units]]*InputData[[#This Row],[Transacted Price (per unit)]]</f>
        <v>50.074080000000002</v>
      </c>
      <c r="I660" s="14"/>
    </row>
    <row r="661" spans="1:9" ht="15.75" customHeight="1" x14ac:dyDescent="0.25">
      <c r="A661" s="16" t="s">
        <v>39</v>
      </c>
      <c r="B661" s="21">
        <v>44422</v>
      </c>
      <c r="C661" s="16" t="s">
        <v>4</v>
      </c>
      <c r="D661" s="17">
        <v>29.3</v>
      </c>
      <c r="E661" s="18">
        <v>1.7067000000000001</v>
      </c>
      <c r="F661" s="18">
        <v>2.93E-2</v>
      </c>
      <c r="G661" s="16" t="s">
        <v>80</v>
      </c>
      <c r="H661" s="20">
        <f>InputData[[#This Row],[Transacted Units]]*InputData[[#This Row],[Transacted Price (per unit)]]</f>
        <v>50.006310000000006</v>
      </c>
      <c r="I661" s="14"/>
    </row>
    <row r="662" spans="1:9" ht="15.75" customHeight="1" x14ac:dyDescent="0.25">
      <c r="A662" s="16" t="s">
        <v>39</v>
      </c>
      <c r="B662" s="21">
        <v>44422</v>
      </c>
      <c r="C662" s="16" t="s">
        <v>4</v>
      </c>
      <c r="D662" s="17">
        <v>28.2</v>
      </c>
      <c r="E662" s="18">
        <v>1.68</v>
      </c>
      <c r="F662" s="18">
        <v>2.8209999999999999E-2</v>
      </c>
      <c r="G662" s="16" t="s">
        <v>80</v>
      </c>
      <c r="H662" s="20">
        <f>InputData[[#This Row],[Transacted Units]]*InputData[[#This Row],[Transacted Price (per unit)]]</f>
        <v>47.375999999999998</v>
      </c>
      <c r="I662" s="14"/>
    </row>
    <row r="663" spans="1:9" ht="15.75" customHeight="1" x14ac:dyDescent="0.25">
      <c r="A663" s="16" t="s">
        <v>39</v>
      </c>
      <c r="B663" s="21">
        <v>44422</v>
      </c>
      <c r="C663" s="16" t="s">
        <v>4</v>
      </c>
      <c r="D663" s="17">
        <v>1.6</v>
      </c>
      <c r="E663" s="18">
        <v>1.6793</v>
      </c>
      <c r="F663" s="18">
        <v>1.57E-3</v>
      </c>
      <c r="G663" s="16" t="s">
        <v>80</v>
      </c>
      <c r="H663" s="20">
        <f>InputData[[#This Row],[Transacted Units]]*InputData[[#This Row],[Transacted Price (per unit)]]</f>
        <v>2.6868800000000004</v>
      </c>
      <c r="I663" s="14"/>
    </row>
    <row r="664" spans="1:9" ht="15.75" customHeight="1" x14ac:dyDescent="0.25">
      <c r="A664" s="16" t="s">
        <v>39</v>
      </c>
      <c r="B664" s="21">
        <v>44422</v>
      </c>
      <c r="C664" s="16" t="s">
        <v>4</v>
      </c>
      <c r="D664" s="17">
        <v>68.7</v>
      </c>
      <c r="E664" s="18">
        <v>1.6369</v>
      </c>
      <c r="F664" s="18">
        <v>6.8729999999999999E-2</v>
      </c>
      <c r="G664" s="16" t="s">
        <v>80</v>
      </c>
      <c r="H664" s="20">
        <f>InputData[[#This Row],[Transacted Units]]*InputData[[#This Row],[Transacted Price (per unit)]]</f>
        <v>112.45503000000001</v>
      </c>
      <c r="I664" s="14"/>
    </row>
    <row r="665" spans="1:9" ht="15.75" customHeight="1" x14ac:dyDescent="0.25">
      <c r="A665" s="16" t="s">
        <v>39</v>
      </c>
      <c r="B665" s="21">
        <v>44422</v>
      </c>
      <c r="C665" s="16" t="s">
        <v>4</v>
      </c>
      <c r="D665" s="17">
        <v>45.3</v>
      </c>
      <c r="E665" s="18">
        <v>1.655</v>
      </c>
      <c r="F665" s="18">
        <v>4.5319999999999999E-2</v>
      </c>
      <c r="G665" s="16" t="s">
        <v>80</v>
      </c>
      <c r="H665" s="20">
        <f>InputData[[#This Row],[Transacted Units]]*InputData[[#This Row],[Transacted Price (per unit)]]</f>
        <v>74.971499999999992</v>
      </c>
      <c r="I665" s="14"/>
    </row>
    <row r="666" spans="1:9" ht="15.75" customHeight="1" x14ac:dyDescent="0.25">
      <c r="A666" s="16" t="s">
        <v>39</v>
      </c>
      <c r="B666" s="21">
        <v>44422</v>
      </c>
      <c r="C666" s="16" t="s">
        <v>4</v>
      </c>
      <c r="D666" s="17">
        <v>30</v>
      </c>
      <c r="E666" s="18">
        <v>1.6645000000000001</v>
      </c>
      <c r="F666" s="18">
        <v>3.0040000000000001E-2</v>
      </c>
      <c r="G666" s="16" t="s">
        <v>80</v>
      </c>
      <c r="H666" s="20">
        <f>InputData[[#This Row],[Transacted Units]]*InputData[[#This Row],[Transacted Price (per unit)]]</f>
        <v>49.935000000000002</v>
      </c>
      <c r="I666" s="14"/>
    </row>
    <row r="667" spans="1:9" ht="15.75" customHeight="1" x14ac:dyDescent="0.25">
      <c r="A667" s="16" t="s">
        <v>39</v>
      </c>
      <c r="B667" s="21">
        <v>44422</v>
      </c>
      <c r="C667" s="16" t="s">
        <v>4</v>
      </c>
      <c r="D667" s="17">
        <v>30</v>
      </c>
      <c r="E667" s="18">
        <v>1.6678999999999999</v>
      </c>
      <c r="F667" s="18">
        <v>0.03</v>
      </c>
      <c r="G667" s="16" t="s">
        <v>80</v>
      </c>
      <c r="H667" s="20">
        <f>InputData[[#This Row],[Transacted Units]]*InputData[[#This Row],[Transacted Price (per unit)]]</f>
        <v>50.036999999999999</v>
      </c>
      <c r="I667" s="14"/>
    </row>
    <row r="668" spans="1:9" ht="15.75" customHeight="1" x14ac:dyDescent="0.25">
      <c r="A668" s="16" t="s">
        <v>39</v>
      </c>
      <c r="B668" s="21">
        <v>44422</v>
      </c>
      <c r="C668" s="16" t="s">
        <v>4</v>
      </c>
      <c r="D668" s="17">
        <v>30.4</v>
      </c>
      <c r="E668" s="18">
        <v>1.6446000000000001</v>
      </c>
      <c r="F668" s="18">
        <v>3.041E-2</v>
      </c>
      <c r="G668" s="16" t="s">
        <v>80</v>
      </c>
      <c r="H668" s="20">
        <f>InputData[[#This Row],[Transacted Units]]*InputData[[#This Row],[Transacted Price (per unit)]]</f>
        <v>49.995840000000001</v>
      </c>
      <c r="I668" s="14"/>
    </row>
    <row r="669" spans="1:9" ht="15.75" customHeight="1" x14ac:dyDescent="0.25">
      <c r="A669" s="16" t="s">
        <v>39</v>
      </c>
      <c r="B669" s="21">
        <v>44422</v>
      </c>
      <c r="C669" s="16" t="s">
        <v>4</v>
      </c>
      <c r="D669" s="17">
        <v>30.3</v>
      </c>
      <c r="E669" s="18">
        <v>1.6478999999999999</v>
      </c>
      <c r="F669" s="18">
        <v>3.0339999999999999E-2</v>
      </c>
      <c r="G669" s="16" t="s">
        <v>80</v>
      </c>
      <c r="H669" s="20">
        <f>InputData[[#This Row],[Transacted Units]]*InputData[[#This Row],[Transacted Price (per unit)]]</f>
        <v>49.931370000000001</v>
      </c>
      <c r="I669" s="14"/>
    </row>
    <row r="670" spans="1:9" ht="15.75" customHeight="1" x14ac:dyDescent="0.25">
      <c r="A670" s="16" t="s">
        <v>39</v>
      </c>
      <c r="B670" s="21">
        <v>44422</v>
      </c>
      <c r="C670" s="16" t="s">
        <v>4</v>
      </c>
      <c r="D670" s="17">
        <v>30.7</v>
      </c>
      <c r="E670" s="18">
        <v>1.6266</v>
      </c>
      <c r="F670" s="18">
        <v>3.074E-2</v>
      </c>
      <c r="G670" s="16" t="s">
        <v>80</v>
      </c>
      <c r="H670" s="20">
        <f>InputData[[#This Row],[Transacted Units]]*InputData[[#This Row],[Transacted Price (per unit)]]</f>
        <v>49.936619999999998</v>
      </c>
      <c r="I670" s="14"/>
    </row>
    <row r="671" spans="1:9" ht="15.75" customHeight="1" x14ac:dyDescent="0.25">
      <c r="A671" s="16" t="s">
        <v>39</v>
      </c>
      <c r="B671" s="21">
        <v>44422</v>
      </c>
      <c r="C671" s="16" t="s">
        <v>4</v>
      </c>
      <c r="D671" s="17">
        <v>24.4</v>
      </c>
      <c r="E671" s="18">
        <v>1.63</v>
      </c>
      <c r="F671" s="18">
        <v>2.4369999999999999E-2</v>
      </c>
      <c r="G671" s="16" t="s">
        <v>80</v>
      </c>
      <c r="H671" s="20">
        <f>InputData[[#This Row],[Transacted Units]]*InputData[[#This Row],[Transacted Price (per unit)]]</f>
        <v>39.771999999999998</v>
      </c>
      <c r="I671" s="14"/>
    </row>
    <row r="672" spans="1:9" ht="15.75" customHeight="1" x14ac:dyDescent="0.25">
      <c r="A672" s="16" t="s">
        <v>39</v>
      </c>
      <c r="B672" s="21">
        <v>44422</v>
      </c>
      <c r="C672" s="16" t="s">
        <v>4</v>
      </c>
      <c r="D672" s="17">
        <v>6.3</v>
      </c>
      <c r="E672" s="18">
        <v>1.6297999999999999</v>
      </c>
      <c r="F672" s="18">
        <v>6.3099999999999996E-3</v>
      </c>
      <c r="G672" s="16" t="s">
        <v>80</v>
      </c>
      <c r="H672" s="20">
        <f>InputData[[#This Row],[Transacted Units]]*InputData[[#This Row],[Transacted Price (per unit)]]</f>
        <v>10.26774</v>
      </c>
      <c r="I672" s="14"/>
    </row>
    <row r="673" spans="1:9" ht="15.75" customHeight="1" x14ac:dyDescent="0.25">
      <c r="A673" s="16" t="s">
        <v>39</v>
      </c>
      <c r="B673" s="21">
        <v>44422</v>
      </c>
      <c r="C673" s="16" t="s">
        <v>4</v>
      </c>
      <c r="D673" s="17">
        <v>6.3</v>
      </c>
      <c r="E673" s="18">
        <v>1.6047</v>
      </c>
      <c r="F673" s="18">
        <v>6.2899999999999996E-3</v>
      </c>
      <c r="G673" s="16" t="s">
        <v>80</v>
      </c>
      <c r="H673" s="20">
        <f>InputData[[#This Row],[Transacted Units]]*InputData[[#This Row],[Transacted Price (per unit)]]</f>
        <v>10.10961</v>
      </c>
      <c r="I673" s="14"/>
    </row>
    <row r="674" spans="1:9" ht="15.75" customHeight="1" x14ac:dyDescent="0.25">
      <c r="A674" s="16" t="s">
        <v>39</v>
      </c>
      <c r="B674" s="21">
        <v>44422</v>
      </c>
      <c r="C674" s="16" t="s">
        <v>4</v>
      </c>
      <c r="D674" s="17">
        <v>24.9</v>
      </c>
      <c r="E674" s="18">
        <v>1.605</v>
      </c>
      <c r="F674" s="18">
        <v>2.487E-2</v>
      </c>
      <c r="G674" s="16" t="s">
        <v>80</v>
      </c>
      <c r="H674" s="20">
        <f>InputData[[#This Row],[Transacted Units]]*InputData[[#This Row],[Transacted Price (per unit)]]</f>
        <v>39.964499999999994</v>
      </c>
      <c r="I674" s="14"/>
    </row>
    <row r="675" spans="1:9" ht="15.75" customHeight="1" x14ac:dyDescent="0.25">
      <c r="A675" s="16" t="s">
        <v>39</v>
      </c>
      <c r="B675" s="21">
        <v>44422</v>
      </c>
      <c r="C675" s="16" t="s">
        <v>4</v>
      </c>
      <c r="D675" s="17">
        <v>65.099999999999994</v>
      </c>
      <c r="E675" s="18">
        <v>1.5565</v>
      </c>
      <c r="F675" s="18">
        <v>6.5049999999999997E-2</v>
      </c>
      <c r="G675" s="16" t="s">
        <v>80</v>
      </c>
      <c r="H675" s="20">
        <f>InputData[[#This Row],[Transacted Units]]*InputData[[#This Row],[Transacted Price (per unit)]]</f>
        <v>101.32814999999999</v>
      </c>
      <c r="I675" s="14"/>
    </row>
    <row r="676" spans="1:9" ht="15.75" customHeight="1" x14ac:dyDescent="0.25">
      <c r="A676" s="16" t="s">
        <v>39</v>
      </c>
      <c r="B676" s="21">
        <v>44422</v>
      </c>
      <c r="C676" s="16" t="s">
        <v>4</v>
      </c>
      <c r="D676" s="17">
        <v>42.5</v>
      </c>
      <c r="E676" s="18">
        <v>1.5899000000000001</v>
      </c>
      <c r="F676" s="18">
        <v>4.2459999999999998E-2</v>
      </c>
      <c r="G676" s="16" t="s">
        <v>80</v>
      </c>
      <c r="H676" s="20">
        <f>InputData[[#This Row],[Transacted Units]]*InputData[[#This Row],[Transacted Price (per unit)]]</f>
        <v>67.570750000000004</v>
      </c>
      <c r="I676" s="14"/>
    </row>
    <row r="677" spans="1:9" ht="15.75" customHeight="1" x14ac:dyDescent="0.25">
      <c r="A677" s="16" t="s">
        <v>39</v>
      </c>
      <c r="B677" s="21">
        <v>44422</v>
      </c>
      <c r="C677" s="16" t="s">
        <v>4</v>
      </c>
      <c r="D677" s="17">
        <v>28</v>
      </c>
      <c r="E677" s="18">
        <v>1.6074999999999999</v>
      </c>
      <c r="F677" s="18">
        <v>2.8000000000000001E-2</v>
      </c>
      <c r="G677" s="16" t="s">
        <v>80</v>
      </c>
      <c r="H677" s="20">
        <f>InputData[[#This Row],[Transacted Units]]*InputData[[#This Row],[Transacted Price (per unit)]]</f>
        <v>45.01</v>
      </c>
      <c r="I677" s="14"/>
    </row>
    <row r="678" spans="1:9" ht="15.75" customHeight="1" x14ac:dyDescent="0.25">
      <c r="A678" s="16" t="s">
        <v>39</v>
      </c>
      <c r="B678" s="21">
        <v>44422</v>
      </c>
      <c r="C678" s="16" t="s">
        <v>4</v>
      </c>
      <c r="D678" s="17">
        <v>1.7</v>
      </c>
      <c r="E678" s="18">
        <v>1.6167</v>
      </c>
      <c r="F678" s="18">
        <v>1.72E-3</v>
      </c>
      <c r="G678" s="16" t="s">
        <v>80</v>
      </c>
      <c r="H678" s="20">
        <f>InputData[[#This Row],[Transacted Units]]*InputData[[#This Row],[Transacted Price (per unit)]]</f>
        <v>2.7483900000000001</v>
      </c>
      <c r="I678" s="14"/>
    </row>
    <row r="679" spans="1:9" ht="15.75" customHeight="1" x14ac:dyDescent="0.25">
      <c r="A679" s="16" t="s">
        <v>39</v>
      </c>
      <c r="B679" s="21">
        <v>44422</v>
      </c>
      <c r="C679" s="16" t="s">
        <v>4</v>
      </c>
      <c r="D679" s="17">
        <v>16.8</v>
      </c>
      <c r="E679" s="18">
        <v>1.6167</v>
      </c>
      <c r="F679" s="18">
        <v>1.6840000000000001E-2</v>
      </c>
      <c r="G679" s="16" t="s">
        <v>80</v>
      </c>
      <c r="H679" s="20">
        <f>InputData[[#This Row],[Transacted Units]]*InputData[[#This Row],[Transacted Price (per unit)]]</f>
        <v>27.16056</v>
      </c>
      <c r="I679" s="14"/>
    </row>
    <row r="680" spans="1:9" ht="15.75" customHeight="1" x14ac:dyDescent="0.25">
      <c r="A680" s="16" t="s">
        <v>39</v>
      </c>
      <c r="B680" s="21">
        <v>44422</v>
      </c>
      <c r="C680" s="16" t="s">
        <v>4</v>
      </c>
      <c r="D680" s="17">
        <v>18.5</v>
      </c>
      <c r="E680" s="18">
        <v>1.62</v>
      </c>
      <c r="F680" s="18">
        <v>1.8519999999999998E-2</v>
      </c>
      <c r="G680" s="16" t="s">
        <v>80</v>
      </c>
      <c r="H680" s="20">
        <f>InputData[[#This Row],[Transacted Units]]*InputData[[#This Row],[Transacted Price (per unit)]]</f>
        <v>29.970000000000002</v>
      </c>
      <c r="I680" s="14"/>
    </row>
    <row r="681" spans="1:9" ht="15.75" customHeight="1" x14ac:dyDescent="0.25">
      <c r="A681" s="16" t="s">
        <v>39</v>
      </c>
      <c r="B681" s="21">
        <v>44422</v>
      </c>
      <c r="C681" s="16" t="s">
        <v>4</v>
      </c>
      <c r="D681" s="17">
        <v>4.5</v>
      </c>
      <c r="E681" s="18">
        <v>1.5989</v>
      </c>
      <c r="F681" s="18">
        <v>4.4799999999999996E-3</v>
      </c>
      <c r="G681" s="16" t="s">
        <v>80</v>
      </c>
      <c r="H681" s="20">
        <f>InputData[[#This Row],[Transacted Units]]*InputData[[#This Row],[Transacted Price (per unit)]]</f>
        <v>7.1950500000000002</v>
      </c>
      <c r="I681" s="14"/>
    </row>
    <row r="682" spans="1:9" ht="15.75" customHeight="1" x14ac:dyDescent="0.25">
      <c r="A682" s="16" t="s">
        <v>39</v>
      </c>
      <c r="B682" s="21">
        <v>44422</v>
      </c>
      <c r="C682" s="16" t="s">
        <v>4</v>
      </c>
      <c r="D682" s="17">
        <v>14.3</v>
      </c>
      <c r="E682" s="18">
        <v>1.5988</v>
      </c>
      <c r="F682" s="18">
        <v>1.4290000000000001E-2</v>
      </c>
      <c r="G682" s="16" t="s">
        <v>80</v>
      </c>
      <c r="H682" s="20">
        <f>InputData[[#This Row],[Transacted Units]]*InputData[[#This Row],[Transacted Price (per unit)]]</f>
        <v>22.862840000000002</v>
      </c>
      <c r="I682" s="14"/>
    </row>
    <row r="683" spans="1:9" ht="15.75" customHeight="1" x14ac:dyDescent="0.25">
      <c r="A683" s="16" t="s">
        <v>39</v>
      </c>
      <c r="B683" s="21">
        <v>44422</v>
      </c>
      <c r="C683" s="16" t="s">
        <v>4</v>
      </c>
      <c r="D683" s="17">
        <v>19</v>
      </c>
      <c r="E683" s="18">
        <v>1.5795999999999999</v>
      </c>
      <c r="F683" s="18">
        <v>1.9E-2</v>
      </c>
      <c r="G683" s="16" t="s">
        <v>80</v>
      </c>
      <c r="H683" s="20">
        <f>InputData[[#This Row],[Transacted Units]]*InputData[[#This Row],[Transacted Price (per unit)]]</f>
        <v>30.0124</v>
      </c>
      <c r="I683" s="14"/>
    </row>
    <row r="684" spans="1:9" ht="15.75" customHeight="1" x14ac:dyDescent="0.25">
      <c r="A684" s="16" t="s">
        <v>39</v>
      </c>
      <c r="B684" s="21">
        <v>44422</v>
      </c>
      <c r="C684" s="16" t="s">
        <v>4</v>
      </c>
      <c r="D684" s="17">
        <v>29</v>
      </c>
      <c r="E684" s="18">
        <v>1.5499000000000001</v>
      </c>
      <c r="F684" s="18">
        <v>2.904E-2</v>
      </c>
      <c r="G684" s="16" t="s">
        <v>80</v>
      </c>
      <c r="H684" s="20">
        <f>InputData[[#This Row],[Transacted Units]]*InputData[[#This Row],[Transacted Price (per unit)]]</f>
        <v>44.947099999999999</v>
      </c>
      <c r="I684" s="14"/>
    </row>
    <row r="685" spans="1:9" ht="15.75" customHeight="1" x14ac:dyDescent="0.25">
      <c r="A685" s="16" t="s">
        <v>39</v>
      </c>
      <c r="B685" s="21">
        <v>44422</v>
      </c>
      <c r="C685" s="16" t="s">
        <v>4</v>
      </c>
      <c r="D685" s="17">
        <v>19.3</v>
      </c>
      <c r="E685" s="18">
        <v>1.5588</v>
      </c>
      <c r="F685" s="18">
        <v>1.925E-2</v>
      </c>
      <c r="G685" s="16" t="s">
        <v>80</v>
      </c>
      <c r="H685" s="20">
        <f>InputData[[#This Row],[Transacted Units]]*InputData[[#This Row],[Transacted Price (per unit)]]</f>
        <v>30.08484</v>
      </c>
      <c r="I685" s="14"/>
    </row>
    <row r="686" spans="1:9" ht="15.75" customHeight="1" x14ac:dyDescent="0.25">
      <c r="A686" s="16" t="s">
        <v>39</v>
      </c>
      <c r="B686" s="21">
        <v>44422</v>
      </c>
      <c r="C686" s="16" t="s">
        <v>4</v>
      </c>
      <c r="D686" s="17">
        <v>19.2</v>
      </c>
      <c r="E686" s="18">
        <v>1.5620000000000001</v>
      </c>
      <c r="F686" s="18">
        <v>1.9210000000000001E-2</v>
      </c>
      <c r="G686" s="16" t="s">
        <v>80</v>
      </c>
      <c r="H686" s="20">
        <f>InputData[[#This Row],[Transacted Units]]*InputData[[#This Row],[Transacted Price (per unit)]]</f>
        <v>29.990400000000001</v>
      </c>
      <c r="I686" s="14"/>
    </row>
    <row r="687" spans="1:9" ht="15.75" customHeight="1" x14ac:dyDescent="0.25">
      <c r="A687" s="16" t="s">
        <v>39</v>
      </c>
      <c r="B687" s="21">
        <v>44422</v>
      </c>
      <c r="C687" s="16" t="s">
        <v>4</v>
      </c>
      <c r="D687" s="17">
        <v>19.5</v>
      </c>
      <c r="E687" s="18">
        <v>1.5391999999999999</v>
      </c>
      <c r="F687" s="18">
        <v>1.95E-2</v>
      </c>
      <c r="G687" s="16" t="s">
        <v>80</v>
      </c>
      <c r="H687" s="20">
        <f>InputData[[#This Row],[Transacted Units]]*InputData[[#This Row],[Transacted Price (per unit)]]</f>
        <v>30.014399999999998</v>
      </c>
      <c r="I687" s="14"/>
    </row>
    <row r="688" spans="1:9" ht="15.75" customHeight="1" x14ac:dyDescent="0.25">
      <c r="A688" s="16" t="s">
        <v>39</v>
      </c>
      <c r="B688" s="21">
        <v>44422</v>
      </c>
      <c r="C688" s="16" t="s">
        <v>4</v>
      </c>
      <c r="D688" s="17">
        <v>19.5</v>
      </c>
      <c r="E688" s="18">
        <v>1.5423</v>
      </c>
      <c r="F688" s="18">
        <v>1.9460000000000002E-2</v>
      </c>
      <c r="G688" s="16" t="s">
        <v>80</v>
      </c>
      <c r="H688" s="20">
        <f>InputData[[#This Row],[Transacted Units]]*InputData[[#This Row],[Transacted Price (per unit)]]</f>
        <v>30.074850000000001</v>
      </c>
      <c r="I688" s="14"/>
    </row>
    <row r="689" spans="1:9" ht="15.75" customHeight="1" x14ac:dyDescent="0.25">
      <c r="A689" s="16" t="s">
        <v>39</v>
      </c>
      <c r="B689" s="21">
        <v>44422</v>
      </c>
      <c r="C689" s="16" t="s">
        <v>4</v>
      </c>
      <c r="D689" s="17">
        <v>19.7</v>
      </c>
      <c r="E689" s="18">
        <v>1.52</v>
      </c>
      <c r="F689" s="18">
        <v>1.9740000000000001E-2</v>
      </c>
      <c r="G689" s="16" t="s">
        <v>80</v>
      </c>
      <c r="H689" s="20">
        <f>InputData[[#This Row],[Transacted Units]]*InputData[[#This Row],[Transacted Price (per unit)]]</f>
        <v>29.943999999999999</v>
      </c>
      <c r="I689" s="14"/>
    </row>
    <row r="690" spans="1:9" ht="15.75" customHeight="1" x14ac:dyDescent="0.25">
      <c r="A690" s="16" t="s">
        <v>39</v>
      </c>
      <c r="B690" s="21">
        <v>44422</v>
      </c>
      <c r="C690" s="16" t="s">
        <v>4</v>
      </c>
      <c r="D690" s="17">
        <v>20</v>
      </c>
      <c r="E690" s="18">
        <v>1.4988999999999999</v>
      </c>
      <c r="F690" s="18">
        <v>2.002E-2</v>
      </c>
      <c r="G690" s="16" t="s">
        <v>80</v>
      </c>
      <c r="H690" s="20">
        <f>InputData[[#This Row],[Transacted Units]]*InputData[[#This Row],[Transacted Price (per unit)]]</f>
        <v>29.977999999999998</v>
      </c>
      <c r="I690" s="14"/>
    </row>
    <row r="691" spans="1:9" ht="15.75" customHeight="1" x14ac:dyDescent="0.25">
      <c r="A691" s="16" t="s">
        <v>39</v>
      </c>
      <c r="B691" s="21">
        <v>44422</v>
      </c>
      <c r="C691" s="16" t="s">
        <v>4</v>
      </c>
      <c r="D691" s="17">
        <v>45.8</v>
      </c>
      <c r="E691" s="18">
        <v>1.4728000000000001</v>
      </c>
      <c r="F691" s="18">
        <v>4.5839999999999999E-2</v>
      </c>
      <c r="G691" s="16" t="s">
        <v>80</v>
      </c>
      <c r="H691" s="20">
        <f>InputData[[#This Row],[Transacted Units]]*InputData[[#This Row],[Transacted Price (per unit)]]</f>
        <v>67.454239999999999</v>
      </c>
      <c r="I691" s="14"/>
    </row>
    <row r="692" spans="1:9" ht="15.75" customHeight="1" x14ac:dyDescent="0.25">
      <c r="A692" s="16" t="s">
        <v>39</v>
      </c>
      <c r="B692" s="21">
        <v>44422</v>
      </c>
      <c r="C692" s="16" t="s">
        <v>4</v>
      </c>
      <c r="D692" s="17">
        <v>30.2</v>
      </c>
      <c r="E692" s="18">
        <v>1.4891000000000001</v>
      </c>
      <c r="F692" s="18">
        <v>3.022E-2</v>
      </c>
      <c r="G692" s="16" t="s">
        <v>80</v>
      </c>
      <c r="H692" s="20">
        <f>InputData[[#This Row],[Transacted Units]]*InputData[[#This Row],[Transacted Price (per unit)]]</f>
        <v>44.970820000000003</v>
      </c>
      <c r="I692" s="14"/>
    </row>
    <row r="693" spans="1:9" ht="15.75" customHeight="1" x14ac:dyDescent="0.25">
      <c r="A693" s="16" t="s">
        <v>39</v>
      </c>
      <c r="B693" s="21">
        <v>44422</v>
      </c>
      <c r="C693" s="16" t="s">
        <v>4</v>
      </c>
      <c r="D693" s="17">
        <v>20</v>
      </c>
      <c r="E693" s="18">
        <v>1.4976</v>
      </c>
      <c r="F693" s="18">
        <v>2.0039999999999999E-2</v>
      </c>
      <c r="G693" s="16" t="s">
        <v>80</v>
      </c>
      <c r="H693" s="20">
        <f>InputData[[#This Row],[Transacted Units]]*InputData[[#This Row],[Transacted Price (per unit)]]</f>
        <v>29.952000000000002</v>
      </c>
      <c r="I693" s="14"/>
    </row>
    <row r="694" spans="1:9" ht="15.75" customHeight="1" x14ac:dyDescent="0.25">
      <c r="A694" s="16" t="s">
        <v>39</v>
      </c>
      <c r="B694" s="21">
        <v>44422</v>
      </c>
      <c r="C694" s="16" t="s">
        <v>4</v>
      </c>
      <c r="D694" s="17">
        <v>20</v>
      </c>
      <c r="E694" s="18">
        <v>1.5006999999999999</v>
      </c>
      <c r="F694" s="18">
        <v>1.9980000000000001E-2</v>
      </c>
      <c r="G694" s="16" t="s">
        <v>80</v>
      </c>
      <c r="H694" s="20">
        <f>InputData[[#This Row],[Transacted Units]]*InputData[[#This Row],[Transacted Price (per unit)]]</f>
        <v>30.013999999999999</v>
      </c>
      <c r="I694" s="14"/>
    </row>
    <row r="695" spans="1:9" ht="15.75" customHeight="1" x14ac:dyDescent="0.25">
      <c r="A695" s="16" t="s">
        <v>39</v>
      </c>
      <c r="B695" s="21">
        <v>44421</v>
      </c>
      <c r="C695" s="16" t="s">
        <v>4</v>
      </c>
      <c r="D695" s="17">
        <v>20.3</v>
      </c>
      <c r="E695" s="18">
        <v>1.4802</v>
      </c>
      <c r="F695" s="18">
        <v>2.027E-2</v>
      </c>
      <c r="G695" s="16" t="s">
        <v>80</v>
      </c>
      <c r="H695" s="20">
        <f>InputData[[#This Row],[Transacted Units]]*InputData[[#This Row],[Transacted Price (per unit)]]</f>
        <v>30.04806</v>
      </c>
      <c r="I695" s="14"/>
    </row>
    <row r="696" spans="1:9" ht="15.75" customHeight="1" x14ac:dyDescent="0.25">
      <c r="A696" s="16" t="s">
        <v>39</v>
      </c>
      <c r="B696" s="21">
        <v>44421</v>
      </c>
      <c r="C696" s="16" t="s">
        <v>4</v>
      </c>
      <c r="D696" s="17">
        <v>6.8</v>
      </c>
      <c r="E696" s="18">
        <v>1.4831000000000001</v>
      </c>
      <c r="F696" s="18">
        <v>6.8399999999999997E-3</v>
      </c>
      <c r="G696" s="16" t="s">
        <v>80</v>
      </c>
      <c r="H696" s="20">
        <f>InputData[[#This Row],[Transacted Units]]*InputData[[#This Row],[Transacted Price (per unit)]]</f>
        <v>10.08508</v>
      </c>
      <c r="I696" s="14"/>
    </row>
    <row r="697" spans="1:9" ht="15.75" customHeight="1" x14ac:dyDescent="0.25">
      <c r="A697" s="16" t="s">
        <v>39</v>
      </c>
      <c r="B697" s="21">
        <v>44421</v>
      </c>
      <c r="C697" s="16" t="s">
        <v>4</v>
      </c>
      <c r="D697" s="17">
        <v>13.4</v>
      </c>
      <c r="E697" s="18">
        <v>1.4833000000000001</v>
      </c>
      <c r="F697" s="18">
        <v>1.3390000000000001E-2</v>
      </c>
      <c r="G697" s="16" t="s">
        <v>80</v>
      </c>
      <c r="H697" s="20">
        <f>InputData[[#This Row],[Transacted Units]]*InputData[[#This Row],[Transacted Price (per unit)]]</f>
        <v>19.87622</v>
      </c>
      <c r="I697" s="14"/>
    </row>
    <row r="698" spans="1:9" ht="15.75" customHeight="1" x14ac:dyDescent="0.25">
      <c r="A698" s="16" t="s">
        <v>39</v>
      </c>
      <c r="B698" s="21">
        <v>44421</v>
      </c>
      <c r="C698" s="16" t="s">
        <v>4</v>
      </c>
      <c r="D698" s="17">
        <v>20.5</v>
      </c>
      <c r="E698" s="18">
        <v>1.4650000000000001</v>
      </c>
      <c r="F698" s="18">
        <v>2.0480000000000002E-2</v>
      </c>
      <c r="G698" s="16" t="s">
        <v>80</v>
      </c>
      <c r="H698" s="20">
        <f>InputData[[#This Row],[Transacted Units]]*InputData[[#This Row],[Transacted Price (per unit)]]</f>
        <v>30.032500000000002</v>
      </c>
      <c r="I698" s="14"/>
    </row>
    <row r="699" spans="1:9" ht="15.75" customHeight="1" x14ac:dyDescent="0.25">
      <c r="A699" s="16" t="s">
        <v>39</v>
      </c>
      <c r="B699" s="21">
        <v>44421</v>
      </c>
      <c r="C699" s="16" t="s">
        <v>4</v>
      </c>
      <c r="D699" s="17">
        <v>20.399999999999999</v>
      </c>
      <c r="E699" s="18">
        <v>1.468</v>
      </c>
      <c r="F699" s="18">
        <v>2.043E-2</v>
      </c>
      <c r="G699" s="16" t="s">
        <v>80</v>
      </c>
      <c r="H699" s="20">
        <f>InputData[[#This Row],[Transacted Units]]*InputData[[#This Row],[Transacted Price (per unit)]]</f>
        <v>29.947199999999999</v>
      </c>
      <c r="I699" s="14"/>
    </row>
    <row r="700" spans="1:9" ht="15.75" customHeight="1" x14ac:dyDescent="0.25">
      <c r="A700" s="16" t="s">
        <v>39</v>
      </c>
      <c r="B700" s="21">
        <v>44421</v>
      </c>
      <c r="C700" s="16" t="s">
        <v>4</v>
      </c>
      <c r="D700" s="17">
        <v>31.1</v>
      </c>
      <c r="E700" s="18">
        <v>1.4483999999999999</v>
      </c>
      <c r="F700" s="18">
        <v>3.107E-2</v>
      </c>
      <c r="G700" s="16" t="s">
        <v>80</v>
      </c>
      <c r="H700" s="20">
        <f>InputData[[#This Row],[Transacted Units]]*InputData[[#This Row],[Transacted Price (per unit)]]</f>
        <v>45.04524</v>
      </c>
      <c r="I700" s="14"/>
    </row>
    <row r="701" spans="1:9" ht="15.75" customHeight="1" x14ac:dyDescent="0.25">
      <c r="A701" s="16" t="s">
        <v>39</v>
      </c>
      <c r="B701" s="21">
        <v>44421</v>
      </c>
      <c r="C701" s="16" t="s">
        <v>4</v>
      </c>
      <c r="D701" s="17">
        <v>20.6</v>
      </c>
      <c r="E701" s="18">
        <v>1.4567000000000001</v>
      </c>
      <c r="F701" s="18">
        <v>2.06E-2</v>
      </c>
      <c r="G701" s="16" t="s">
        <v>80</v>
      </c>
      <c r="H701" s="20">
        <f>InputData[[#This Row],[Transacted Units]]*InputData[[#This Row],[Transacted Price (per unit)]]</f>
        <v>30.008020000000005</v>
      </c>
      <c r="I701" s="14"/>
    </row>
    <row r="702" spans="1:9" ht="15.75" customHeight="1" x14ac:dyDescent="0.25">
      <c r="A702" s="16" t="s">
        <v>39</v>
      </c>
      <c r="B702" s="21">
        <v>44421</v>
      </c>
      <c r="C702" s="16" t="s">
        <v>4</v>
      </c>
      <c r="D702" s="17">
        <v>20.6</v>
      </c>
      <c r="E702" s="18">
        <v>1.4597</v>
      </c>
      <c r="F702" s="18">
        <v>2.0559999999999998E-2</v>
      </c>
      <c r="G702" s="16" t="s">
        <v>80</v>
      </c>
      <c r="H702" s="20">
        <f>InputData[[#This Row],[Transacted Units]]*InputData[[#This Row],[Transacted Price (per unit)]]</f>
        <v>30.069820000000004</v>
      </c>
      <c r="I702" s="14"/>
    </row>
    <row r="703" spans="1:9" ht="15.75" customHeight="1" x14ac:dyDescent="0.25">
      <c r="A703" s="16" t="s">
        <v>39</v>
      </c>
      <c r="B703" s="21">
        <v>44421</v>
      </c>
      <c r="C703" s="16" t="s">
        <v>4</v>
      </c>
      <c r="D703" s="17">
        <v>47.4</v>
      </c>
      <c r="E703" s="18">
        <v>1.4255</v>
      </c>
      <c r="F703" s="18">
        <v>4.7359999999999999E-2</v>
      </c>
      <c r="G703" s="16" t="s">
        <v>80</v>
      </c>
      <c r="H703" s="20">
        <f>InputData[[#This Row],[Transacted Units]]*InputData[[#This Row],[Transacted Price (per unit)]]</f>
        <v>67.568699999999993</v>
      </c>
      <c r="I703" s="14"/>
    </row>
    <row r="704" spans="1:9" ht="15.75" customHeight="1" x14ac:dyDescent="0.25">
      <c r="A704" s="16" t="s">
        <v>39</v>
      </c>
      <c r="B704" s="21">
        <v>44421</v>
      </c>
      <c r="C704" s="16" t="s">
        <v>4</v>
      </c>
      <c r="D704" s="17">
        <v>31.2</v>
      </c>
      <c r="E704" s="18">
        <v>1.4413</v>
      </c>
      <c r="F704" s="18">
        <v>3.1230000000000001E-2</v>
      </c>
      <c r="G704" s="16" t="s">
        <v>80</v>
      </c>
      <c r="H704" s="20">
        <f>InputData[[#This Row],[Transacted Units]]*InputData[[#This Row],[Transacted Price (per unit)]]</f>
        <v>44.968559999999997</v>
      </c>
      <c r="I704" s="14"/>
    </row>
    <row r="705" spans="1:9" ht="15.75" customHeight="1" x14ac:dyDescent="0.25">
      <c r="A705" s="16" t="s">
        <v>39</v>
      </c>
      <c r="B705" s="21">
        <v>44421</v>
      </c>
      <c r="C705" s="16" t="s">
        <v>4</v>
      </c>
      <c r="D705" s="17">
        <v>20.7</v>
      </c>
      <c r="E705" s="18">
        <v>1.4495</v>
      </c>
      <c r="F705" s="18">
        <v>2.07E-2</v>
      </c>
      <c r="G705" s="16" t="s">
        <v>80</v>
      </c>
      <c r="H705" s="20">
        <f>InputData[[#This Row],[Transacted Units]]*InputData[[#This Row],[Transacted Price (per unit)]]</f>
        <v>30.004649999999998</v>
      </c>
      <c r="I705" s="14"/>
    </row>
    <row r="706" spans="1:9" ht="15.75" customHeight="1" x14ac:dyDescent="0.25">
      <c r="A706" s="16" t="s">
        <v>39</v>
      </c>
      <c r="B706" s="21">
        <v>44421</v>
      </c>
      <c r="C706" s="16" t="s">
        <v>4</v>
      </c>
      <c r="D706" s="17">
        <v>13.6</v>
      </c>
      <c r="E706" s="18">
        <v>1.4525999999999999</v>
      </c>
      <c r="F706" s="18">
        <v>1.362E-2</v>
      </c>
      <c r="G706" s="16" t="s">
        <v>80</v>
      </c>
      <c r="H706" s="20">
        <f>InputData[[#This Row],[Transacted Units]]*InputData[[#This Row],[Transacted Price (per unit)]]</f>
        <v>19.75536</v>
      </c>
      <c r="I706" s="14"/>
    </row>
    <row r="707" spans="1:9" ht="15.75" customHeight="1" x14ac:dyDescent="0.25">
      <c r="A707" s="16" t="s">
        <v>39</v>
      </c>
      <c r="B707" s="21">
        <v>44421</v>
      </c>
      <c r="C707" s="16" t="s">
        <v>4</v>
      </c>
      <c r="D707" s="17">
        <v>7</v>
      </c>
      <c r="E707" s="18">
        <v>1.4522999999999999</v>
      </c>
      <c r="F707" s="18">
        <v>7.0400000000000003E-3</v>
      </c>
      <c r="G707" s="16" t="s">
        <v>80</v>
      </c>
      <c r="H707" s="20">
        <f>InputData[[#This Row],[Transacted Units]]*InputData[[#This Row],[Transacted Price (per unit)]]</f>
        <v>10.1661</v>
      </c>
      <c r="I707" s="14"/>
    </row>
    <row r="708" spans="1:9" ht="15.75" customHeight="1" x14ac:dyDescent="0.25">
      <c r="A708" s="16" t="s">
        <v>39</v>
      </c>
      <c r="B708" s="21">
        <v>44421</v>
      </c>
      <c r="C708" s="16" t="s">
        <v>4</v>
      </c>
      <c r="D708" s="17">
        <v>31.7</v>
      </c>
      <c r="E708" s="18">
        <v>1.4216</v>
      </c>
      <c r="F708" s="18">
        <v>3.1660000000000001E-2</v>
      </c>
      <c r="G708" s="16" t="s">
        <v>80</v>
      </c>
      <c r="H708" s="20">
        <f>InputData[[#This Row],[Transacted Units]]*InputData[[#This Row],[Transacted Price (per unit)]]</f>
        <v>45.064720000000001</v>
      </c>
      <c r="I708" s="14"/>
    </row>
    <row r="709" spans="1:9" ht="15.75" customHeight="1" x14ac:dyDescent="0.25">
      <c r="A709" s="16" t="s">
        <v>39</v>
      </c>
      <c r="B709" s="21">
        <v>44421</v>
      </c>
      <c r="C709" s="16" t="s">
        <v>4</v>
      </c>
      <c r="D709" s="17">
        <v>21</v>
      </c>
      <c r="E709" s="18">
        <v>1.4298</v>
      </c>
      <c r="F709" s="18">
        <v>2.0990000000000002E-2</v>
      </c>
      <c r="G709" s="16" t="s">
        <v>80</v>
      </c>
      <c r="H709" s="20">
        <f>InputData[[#This Row],[Transacted Units]]*InputData[[#This Row],[Transacted Price (per unit)]]</f>
        <v>30.0258</v>
      </c>
      <c r="I709" s="14"/>
    </row>
    <row r="710" spans="1:9" ht="15.75" customHeight="1" x14ac:dyDescent="0.25">
      <c r="A710" s="16" t="s">
        <v>39</v>
      </c>
      <c r="B710" s="21">
        <v>44421</v>
      </c>
      <c r="C710" s="16" t="s">
        <v>4</v>
      </c>
      <c r="D710" s="17">
        <v>20.9</v>
      </c>
      <c r="E710" s="18">
        <v>1.4327000000000001</v>
      </c>
      <c r="F710" s="18">
        <v>2.0879999999999999E-2</v>
      </c>
      <c r="G710" s="16" t="s">
        <v>80</v>
      </c>
      <c r="H710" s="20">
        <f>InputData[[#This Row],[Transacted Units]]*InputData[[#This Row],[Transacted Price (per unit)]]</f>
        <v>29.943429999999999</v>
      </c>
      <c r="I710" s="14"/>
    </row>
    <row r="711" spans="1:9" ht="15.75" customHeight="1" x14ac:dyDescent="0.25">
      <c r="A711" s="16" t="s">
        <v>39</v>
      </c>
      <c r="B711" s="21">
        <v>44421</v>
      </c>
      <c r="C711" s="16" t="s">
        <v>4</v>
      </c>
      <c r="D711" s="17">
        <v>73.7</v>
      </c>
      <c r="E711" s="18">
        <v>1.3743000000000001</v>
      </c>
      <c r="F711" s="18">
        <v>7.3679999999999995E-2</v>
      </c>
      <c r="G711" s="16" t="s">
        <v>80</v>
      </c>
      <c r="H711" s="20">
        <f>InputData[[#This Row],[Transacted Units]]*InputData[[#This Row],[Transacted Price (per unit)]]</f>
        <v>101.28591000000002</v>
      </c>
      <c r="I711" s="14"/>
    </row>
    <row r="712" spans="1:9" ht="15.75" customHeight="1" x14ac:dyDescent="0.25">
      <c r="A712" s="16" t="s">
        <v>39</v>
      </c>
      <c r="B712" s="21">
        <v>44421</v>
      </c>
      <c r="C712" s="16" t="s">
        <v>4</v>
      </c>
      <c r="D712" s="17">
        <v>48.1</v>
      </c>
      <c r="E712" s="18">
        <v>1.4036999999999999</v>
      </c>
      <c r="F712" s="18">
        <v>4.8090000000000001E-2</v>
      </c>
      <c r="G712" s="16" t="s">
        <v>80</v>
      </c>
      <c r="H712" s="20">
        <f>InputData[[#This Row],[Transacted Units]]*InputData[[#This Row],[Transacted Price (per unit)]]</f>
        <v>67.517970000000005</v>
      </c>
      <c r="I712" s="14"/>
    </row>
    <row r="713" spans="1:9" ht="15.75" customHeight="1" x14ac:dyDescent="0.25">
      <c r="A713" s="16" t="s">
        <v>39</v>
      </c>
      <c r="B713" s="21">
        <v>44421</v>
      </c>
      <c r="C713" s="16" t="s">
        <v>4</v>
      </c>
      <c r="D713" s="17">
        <v>31.7</v>
      </c>
      <c r="E713" s="18">
        <v>1.4192</v>
      </c>
      <c r="F713" s="18">
        <v>3.1710000000000002E-2</v>
      </c>
      <c r="G713" s="16" t="s">
        <v>80</v>
      </c>
      <c r="H713" s="20">
        <f>InputData[[#This Row],[Transacted Units]]*InputData[[#This Row],[Transacted Price (per unit)]]</f>
        <v>44.988639999999997</v>
      </c>
      <c r="I713" s="14"/>
    </row>
    <row r="714" spans="1:9" ht="15.75" customHeight="1" x14ac:dyDescent="0.25">
      <c r="A714" s="16" t="s">
        <v>39</v>
      </c>
      <c r="B714" s="21">
        <v>44421</v>
      </c>
      <c r="C714" s="16" t="s">
        <v>4</v>
      </c>
      <c r="D714" s="17">
        <v>21</v>
      </c>
      <c r="E714" s="18">
        <v>1.4274</v>
      </c>
      <c r="F714" s="18">
        <v>2.102E-2</v>
      </c>
      <c r="G714" s="16" t="s">
        <v>80</v>
      </c>
      <c r="H714" s="20">
        <f>InputData[[#This Row],[Transacted Units]]*InputData[[#This Row],[Transacted Price (per unit)]]</f>
        <v>29.9754</v>
      </c>
      <c r="I714" s="14"/>
    </row>
    <row r="715" spans="1:9" ht="15.75" customHeight="1" x14ac:dyDescent="0.25">
      <c r="A715" s="16" t="s">
        <v>39</v>
      </c>
      <c r="B715" s="21">
        <v>44421</v>
      </c>
      <c r="C715" s="16" t="s">
        <v>4</v>
      </c>
      <c r="D715" s="17">
        <v>21</v>
      </c>
      <c r="E715" s="18">
        <v>1.4302999999999999</v>
      </c>
      <c r="F715" s="18">
        <v>2.0959999999999999E-2</v>
      </c>
      <c r="G715" s="16" t="s">
        <v>80</v>
      </c>
      <c r="H715" s="20">
        <f>InputData[[#This Row],[Transacted Units]]*InputData[[#This Row],[Transacted Price (per unit)]]</f>
        <v>30.036299999999997</v>
      </c>
      <c r="I715" s="14"/>
    </row>
    <row r="716" spans="1:9" ht="15.75" customHeight="1" x14ac:dyDescent="0.25">
      <c r="A716" s="16" t="s">
        <v>39</v>
      </c>
      <c r="B716" s="21">
        <v>44421</v>
      </c>
      <c r="C716" s="16" t="s">
        <v>4</v>
      </c>
      <c r="D716" s="17">
        <v>21.1</v>
      </c>
      <c r="E716" s="18">
        <v>1.4205000000000001</v>
      </c>
      <c r="F716" s="18">
        <v>2.112E-2</v>
      </c>
      <c r="G716" s="16" t="s">
        <v>80</v>
      </c>
      <c r="H716" s="20">
        <f>InputData[[#This Row],[Transacted Units]]*InputData[[#This Row],[Transacted Price (per unit)]]</f>
        <v>29.972550000000005</v>
      </c>
      <c r="I716" s="14"/>
    </row>
    <row r="717" spans="1:9" ht="15.75" customHeight="1" x14ac:dyDescent="0.25">
      <c r="A717" s="16" t="s">
        <v>39</v>
      </c>
      <c r="B717" s="21">
        <v>44421</v>
      </c>
      <c r="C717" s="16" t="s">
        <v>4</v>
      </c>
      <c r="D717" s="17">
        <v>21.1</v>
      </c>
      <c r="E717" s="18">
        <v>1.4234</v>
      </c>
      <c r="F717" s="18">
        <v>2.1080000000000002E-2</v>
      </c>
      <c r="G717" s="16" t="s">
        <v>80</v>
      </c>
      <c r="H717" s="20">
        <f>InputData[[#This Row],[Transacted Units]]*InputData[[#This Row],[Transacted Price (per unit)]]</f>
        <v>30.033740000000002</v>
      </c>
      <c r="I717" s="14"/>
    </row>
    <row r="718" spans="1:9" ht="15.75" customHeight="1" x14ac:dyDescent="0.25">
      <c r="A718" s="16" t="s">
        <v>39</v>
      </c>
      <c r="B718" s="21">
        <v>44421</v>
      </c>
      <c r="C718" s="16" t="s">
        <v>4</v>
      </c>
      <c r="D718" s="17">
        <v>9.6</v>
      </c>
      <c r="E718" s="18">
        <v>1.3977999999999999</v>
      </c>
      <c r="F718" s="18">
        <v>9.5600000000000008E-3</v>
      </c>
      <c r="G718" s="16" t="s">
        <v>80</v>
      </c>
      <c r="H718" s="20">
        <f>InputData[[#This Row],[Transacted Units]]*InputData[[#This Row],[Transacted Price (per unit)]]</f>
        <v>13.41888</v>
      </c>
      <c r="I718" s="14"/>
    </row>
    <row r="719" spans="1:9" ht="15.75" customHeight="1" x14ac:dyDescent="0.25">
      <c r="A719" s="16" t="s">
        <v>39</v>
      </c>
      <c r="B719" s="21">
        <v>44421</v>
      </c>
      <c r="C719" s="16" t="s">
        <v>4</v>
      </c>
      <c r="D719" s="17">
        <v>38.700000000000003</v>
      </c>
      <c r="E719" s="18">
        <v>1.3977999999999999</v>
      </c>
      <c r="F719" s="18">
        <v>3.8739999999999997E-2</v>
      </c>
      <c r="G719" s="16" t="s">
        <v>80</v>
      </c>
      <c r="H719" s="20">
        <f>InputData[[#This Row],[Transacted Units]]*InputData[[#This Row],[Transacted Price (per unit)]]</f>
        <v>54.094860000000004</v>
      </c>
      <c r="I719" s="14"/>
    </row>
    <row r="720" spans="1:9" ht="15.75" customHeight="1" x14ac:dyDescent="0.25">
      <c r="A720" s="16" t="s">
        <v>39</v>
      </c>
      <c r="B720" s="21">
        <v>44421</v>
      </c>
      <c r="C720" s="16" t="s">
        <v>4</v>
      </c>
      <c r="D720" s="17">
        <v>31.9</v>
      </c>
      <c r="E720" s="18">
        <v>1.4132</v>
      </c>
      <c r="F720" s="18">
        <v>3.1850000000000003E-2</v>
      </c>
      <c r="G720" s="16" t="s">
        <v>80</v>
      </c>
      <c r="H720" s="20">
        <f>InputData[[#This Row],[Transacted Units]]*InputData[[#This Row],[Transacted Price (per unit)]]</f>
        <v>45.08108</v>
      </c>
      <c r="I720" s="14"/>
    </row>
    <row r="721" spans="1:9" ht="15.75" customHeight="1" x14ac:dyDescent="0.25">
      <c r="A721" s="16" t="s">
        <v>39</v>
      </c>
      <c r="B721" s="21">
        <v>44421</v>
      </c>
      <c r="C721" s="16" t="s">
        <v>4</v>
      </c>
      <c r="D721" s="17">
        <v>21.1</v>
      </c>
      <c r="E721" s="18">
        <v>1.4214</v>
      </c>
      <c r="F721" s="18">
        <v>2.111E-2</v>
      </c>
      <c r="G721" s="16" t="s">
        <v>80</v>
      </c>
      <c r="H721" s="20">
        <f>InputData[[#This Row],[Transacted Units]]*InputData[[#This Row],[Transacted Price (per unit)]]</f>
        <v>29.991540000000001</v>
      </c>
      <c r="I721" s="14"/>
    </row>
    <row r="722" spans="1:9" ht="15.75" customHeight="1" x14ac:dyDescent="0.25">
      <c r="A722" s="16" t="s">
        <v>39</v>
      </c>
      <c r="B722" s="21">
        <v>44421</v>
      </c>
      <c r="C722" s="16" t="s">
        <v>4</v>
      </c>
      <c r="D722" s="17">
        <v>13.9</v>
      </c>
      <c r="E722" s="18">
        <v>1.4246000000000001</v>
      </c>
      <c r="F722" s="18">
        <v>1.3860000000000001E-2</v>
      </c>
      <c r="G722" s="16" t="s">
        <v>80</v>
      </c>
      <c r="H722" s="20">
        <f>InputData[[#This Row],[Transacted Units]]*InputData[[#This Row],[Transacted Price (per unit)]]</f>
        <v>19.801940000000002</v>
      </c>
      <c r="I722" s="14"/>
    </row>
    <row r="723" spans="1:9" ht="15.75" customHeight="1" x14ac:dyDescent="0.25">
      <c r="A723" s="16" t="s">
        <v>39</v>
      </c>
      <c r="B723" s="21">
        <v>44421</v>
      </c>
      <c r="C723" s="16" t="s">
        <v>4</v>
      </c>
      <c r="D723" s="17">
        <v>7.2</v>
      </c>
      <c r="E723" s="18">
        <v>1.4236</v>
      </c>
      <c r="F723" s="18">
        <v>7.2199999999999999E-3</v>
      </c>
      <c r="G723" s="16" t="s">
        <v>80</v>
      </c>
      <c r="H723" s="20">
        <f>InputData[[#This Row],[Transacted Units]]*InputData[[#This Row],[Transacted Price (per unit)]]</f>
        <v>10.249919999999999</v>
      </c>
      <c r="I723" s="14"/>
    </row>
    <row r="724" spans="1:9" ht="15.75" customHeight="1" x14ac:dyDescent="0.25">
      <c r="A724" s="16" t="s">
        <v>39</v>
      </c>
      <c r="B724" s="21">
        <v>44421</v>
      </c>
      <c r="C724" s="16" t="s">
        <v>4</v>
      </c>
      <c r="D724" s="17">
        <v>21.3</v>
      </c>
      <c r="E724" s="18">
        <v>1.4072</v>
      </c>
      <c r="F724" s="18">
        <v>2.1319999999999999E-2</v>
      </c>
      <c r="G724" s="16" t="s">
        <v>80</v>
      </c>
      <c r="H724" s="20">
        <f>InputData[[#This Row],[Transacted Units]]*InputData[[#This Row],[Transacted Price (per unit)]]</f>
        <v>29.97336</v>
      </c>
      <c r="I724" s="14"/>
    </row>
    <row r="725" spans="1:9" ht="15.75" customHeight="1" x14ac:dyDescent="0.25">
      <c r="A725" s="16" t="s">
        <v>39</v>
      </c>
      <c r="B725" s="21">
        <v>44421</v>
      </c>
      <c r="C725" s="16" t="s">
        <v>4</v>
      </c>
      <c r="D725" s="17">
        <v>21.3</v>
      </c>
      <c r="E725" s="18">
        <v>1.4100999999999999</v>
      </c>
      <c r="F725" s="18">
        <v>2.129E-2</v>
      </c>
      <c r="G725" s="16" t="s">
        <v>80</v>
      </c>
      <c r="H725" s="20">
        <f>InputData[[#This Row],[Transacted Units]]*InputData[[#This Row],[Transacted Price (per unit)]]</f>
        <v>30.035129999999999</v>
      </c>
      <c r="I725" s="14"/>
    </row>
    <row r="726" spans="1:9" ht="15.75" customHeight="1" x14ac:dyDescent="0.25">
      <c r="A726" s="16" t="s">
        <v>39</v>
      </c>
      <c r="B726" s="21">
        <v>44420</v>
      </c>
      <c r="C726" s="16" t="s">
        <v>4</v>
      </c>
      <c r="D726" s="17">
        <v>113.6</v>
      </c>
      <c r="E726" s="18">
        <v>1.3365</v>
      </c>
      <c r="F726" s="18">
        <v>0.11364</v>
      </c>
      <c r="G726" s="16" t="s">
        <v>80</v>
      </c>
      <c r="H726" s="20">
        <f>InputData[[#This Row],[Transacted Units]]*InputData[[#This Row],[Transacted Price (per unit)]]</f>
        <v>151.82640000000001</v>
      </c>
      <c r="I726" s="14"/>
    </row>
    <row r="727" spans="1:9" ht="15.75" customHeight="1" x14ac:dyDescent="0.25">
      <c r="A727" s="16" t="s">
        <v>39</v>
      </c>
      <c r="B727" s="21">
        <v>44419</v>
      </c>
      <c r="C727" s="16" t="s">
        <v>4</v>
      </c>
      <c r="D727" s="17">
        <v>72.7</v>
      </c>
      <c r="E727" s="18">
        <v>1.3933</v>
      </c>
      <c r="F727" s="18">
        <v>7.2669999999999998E-2</v>
      </c>
      <c r="G727" s="16" t="s">
        <v>80</v>
      </c>
      <c r="H727" s="20">
        <f>InputData[[#This Row],[Transacted Units]]*InputData[[#This Row],[Transacted Price (per unit)]]</f>
        <v>101.29291000000001</v>
      </c>
      <c r="I727" s="14"/>
    </row>
    <row r="728" spans="1:9" ht="15.75" customHeight="1" x14ac:dyDescent="0.25">
      <c r="A728" s="16" t="s">
        <v>39</v>
      </c>
      <c r="B728" s="21">
        <v>44419</v>
      </c>
      <c r="C728" s="16" t="s">
        <v>4</v>
      </c>
      <c r="D728" s="17">
        <v>47.4</v>
      </c>
      <c r="E728" s="18">
        <v>1.4232</v>
      </c>
      <c r="F728" s="18">
        <v>4.743E-2</v>
      </c>
      <c r="G728" s="16" t="s">
        <v>80</v>
      </c>
      <c r="H728" s="20">
        <f>InputData[[#This Row],[Transacted Units]]*InputData[[#This Row],[Transacted Price (per unit)]]</f>
        <v>67.459680000000006</v>
      </c>
      <c r="I728" s="14"/>
    </row>
    <row r="729" spans="1:9" ht="15.75" customHeight="1" x14ac:dyDescent="0.25">
      <c r="A729" s="16" t="s">
        <v>39</v>
      </c>
      <c r="B729" s="21">
        <v>44419</v>
      </c>
      <c r="C729" s="16" t="s">
        <v>4</v>
      </c>
      <c r="D729" s="17">
        <v>31.3</v>
      </c>
      <c r="E729" s="18">
        <v>1.4389000000000001</v>
      </c>
      <c r="F729" s="18">
        <v>3.1280000000000002E-2</v>
      </c>
      <c r="G729" s="16" t="s">
        <v>80</v>
      </c>
      <c r="H729" s="20">
        <f>InputData[[#This Row],[Transacted Units]]*InputData[[#This Row],[Transacted Price (per unit)]]</f>
        <v>45.037570000000002</v>
      </c>
      <c r="I729" s="14"/>
    </row>
    <row r="730" spans="1:9" ht="15.75" customHeight="1" x14ac:dyDescent="0.25">
      <c r="A730" s="16" t="s">
        <v>39</v>
      </c>
      <c r="B730" s="21">
        <v>44419</v>
      </c>
      <c r="C730" s="16" t="s">
        <v>4</v>
      </c>
      <c r="D730" s="17">
        <v>20.7</v>
      </c>
      <c r="E730" s="18">
        <v>1.4471000000000001</v>
      </c>
      <c r="F730" s="18">
        <v>2.0740000000000001E-2</v>
      </c>
      <c r="G730" s="16" t="s">
        <v>80</v>
      </c>
      <c r="H730" s="20">
        <f>InputData[[#This Row],[Transacted Units]]*InputData[[#This Row],[Transacted Price (per unit)]]</f>
        <v>29.954969999999999</v>
      </c>
      <c r="I730" s="14"/>
    </row>
    <row r="731" spans="1:9" ht="15.75" customHeight="1" x14ac:dyDescent="0.25">
      <c r="A731" s="16" t="s">
        <v>39</v>
      </c>
      <c r="B731" s="21">
        <v>44419</v>
      </c>
      <c r="C731" s="16" t="s">
        <v>4</v>
      </c>
      <c r="D731" s="17">
        <v>20.7</v>
      </c>
      <c r="E731" s="18">
        <v>1.4500999999999999</v>
      </c>
      <c r="F731" s="18">
        <v>2.068E-2</v>
      </c>
      <c r="G731" s="16" t="s">
        <v>80</v>
      </c>
      <c r="H731" s="20">
        <f>InputData[[#This Row],[Transacted Units]]*InputData[[#This Row],[Transacted Price (per unit)]]</f>
        <v>30.017069999999997</v>
      </c>
      <c r="I731" s="14"/>
    </row>
    <row r="732" spans="1:9" ht="15.75" customHeight="1" x14ac:dyDescent="0.25">
      <c r="A732" s="16" t="s">
        <v>39</v>
      </c>
      <c r="B732" s="21">
        <v>44419</v>
      </c>
      <c r="C732" s="16" t="s">
        <v>4</v>
      </c>
      <c r="D732" s="17">
        <v>21.1</v>
      </c>
      <c r="E732" s="18">
        <v>1.4256</v>
      </c>
      <c r="F732" s="18">
        <v>2.1049999999999999E-2</v>
      </c>
      <c r="G732" s="16" t="s">
        <v>80</v>
      </c>
      <c r="H732" s="20">
        <f>InputData[[#This Row],[Transacted Units]]*InputData[[#This Row],[Transacted Price (per unit)]]</f>
        <v>30.080160000000003</v>
      </c>
      <c r="I732" s="14"/>
    </row>
    <row r="733" spans="1:9" ht="15.75" customHeight="1" x14ac:dyDescent="0.25">
      <c r="A733" s="16" t="s">
        <v>39</v>
      </c>
      <c r="B733" s="21">
        <v>44419</v>
      </c>
      <c r="C733" s="16" t="s">
        <v>4</v>
      </c>
      <c r="D733" s="17">
        <v>21.1</v>
      </c>
      <c r="E733" s="18">
        <v>1.4285000000000001</v>
      </c>
      <c r="F733" s="18">
        <v>2.1049999999999999E-2</v>
      </c>
      <c r="G733" s="16" t="s">
        <v>80</v>
      </c>
      <c r="H733" s="20">
        <f>InputData[[#This Row],[Transacted Units]]*InputData[[#This Row],[Transacted Price (per unit)]]</f>
        <v>30.141350000000003</v>
      </c>
      <c r="I733" s="14"/>
    </row>
    <row r="734" spans="1:9" ht="15.75" customHeight="1" x14ac:dyDescent="0.25">
      <c r="A734" s="16" t="s">
        <v>39</v>
      </c>
      <c r="B734" s="21">
        <v>44419</v>
      </c>
      <c r="C734" s="16" t="s">
        <v>4</v>
      </c>
      <c r="D734" s="17">
        <v>21.5</v>
      </c>
      <c r="E734" s="18">
        <v>1.3955</v>
      </c>
      <c r="F734" s="18">
        <v>2.1499999999999998E-2</v>
      </c>
      <c r="G734" s="16" t="s">
        <v>80</v>
      </c>
      <c r="H734" s="20">
        <f>InputData[[#This Row],[Transacted Units]]*InputData[[#This Row],[Transacted Price (per unit)]]</f>
        <v>30.003249999999998</v>
      </c>
      <c r="I734" s="14"/>
    </row>
    <row r="735" spans="1:9" ht="15.75" customHeight="1" x14ac:dyDescent="0.25">
      <c r="A735" s="16" t="s">
        <v>39</v>
      </c>
      <c r="B735" s="21">
        <v>44419</v>
      </c>
      <c r="C735" s="16" t="s">
        <v>4</v>
      </c>
      <c r="D735" s="17">
        <v>21.5</v>
      </c>
      <c r="E735" s="18">
        <v>1.3983000000000001</v>
      </c>
      <c r="F735" s="18">
        <v>2.146E-2</v>
      </c>
      <c r="G735" s="16" t="s">
        <v>80</v>
      </c>
      <c r="H735" s="20">
        <f>InputData[[#This Row],[Transacted Units]]*InputData[[#This Row],[Transacted Price (per unit)]]</f>
        <v>30.063450000000003</v>
      </c>
      <c r="I735" s="14"/>
    </row>
    <row r="736" spans="1:9" ht="15.75" customHeight="1" x14ac:dyDescent="0.25">
      <c r="A736" s="16" t="s">
        <v>39</v>
      </c>
      <c r="B736" s="21">
        <v>44419</v>
      </c>
      <c r="C736" s="16" t="s">
        <v>4</v>
      </c>
      <c r="D736" s="17">
        <v>21.8</v>
      </c>
      <c r="E736" s="18">
        <v>1.3792</v>
      </c>
      <c r="F736" s="18">
        <v>2.1760000000000002E-2</v>
      </c>
      <c r="G736" s="16" t="s">
        <v>80</v>
      </c>
      <c r="H736" s="20">
        <f>InputData[[#This Row],[Transacted Units]]*InputData[[#This Row],[Transacted Price (per unit)]]</f>
        <v>30.066559999999999</v>
      </c>
      <c r="I736" s="14"/>
    </row>
    <row r="737" spans="1:9" ht="15.75" customHeight="1" x14ac:dyDescent="0.25">
      <c r="A737" s="16" t="s">
        <v>39</v>
      </c>
      <c r="B737" s="21">
        <v>44419</v>
      </c>
      <c r="C737" s="16" t="s">
        <v>4</v>
      </c>
      <c r="D737" s="17">
        <v>7.3</v>
      </c>
      <c r="E737" s="18">
        <v>1.3819999999999999</v>
      </c>
      <c r="F737" s="18">
        <v>7.3099999999999997E-3</v>
      </c>
      <c r="G737" s="16" t="s">
        <v>80</v>
      </c>
      <c r="H737" s="20">
        <f>InputData[[#This Row],[Transacted Units]]*InputData[[#This Row],[Transacted Price (per unit)]]</f>
        <v>10.0886</v>
      </c>
      <c r="I737" s="14"/>
    </row>
    <row r="738" spans="1:9" ht="15.75" customHeight="1" x14ac:dyDescent="0.25">
      <c r="A738" s="16" t="s">
        <v>39</v>
      </c>
      <c r="B738" s="21">
        <v>44419</v>
      </c>
      <c r="C738" s="16" t="s">
        <v>4</v>
      </c>
      <c r="D738" s="17">
        <v>7.1</v>
      </c>
      <c r="E738" s="18">
        <v>1.3819999999999999</v>
      </c>
      <c r="F738" s="18">
        <v>7.1000000000000004E-3</v>
      </c>
      <c r="G738" s="16" t="s">
        <v>80</v>
      </c>
      <c r="H738" s="20">
        <f>InputData[[#This Row],[Transacted Units]]*InputData[[#This Row],[Transacted Price (per unit)]]</f>
        <v>9.8121999999999989</v>
      </c>
      <c r="I738" s="14"/>
    </row>
    <row r="739" spans="1:9" ht="15.75" customHeight="1" x14ac:dyDescent="0.25">
      <c r="A739" s="16" t="s">
        <v>39</v>
      </c>
      <c r="B739" s="21">
        <v>44419</v>
      </c>
      <c r="C739" s="16" t="s">
        <v>4</v>
      </c>
      <c r="D739" s="17">
        <v>7.3</v>
      </c>
      <c r="E739" s="18">
        <v>1.3819999999999999</v>
      </c>
      <c r="F739" s="18">
        <v>7.3099999999999997E-3</v>
      </c>
      <c r="G739" s="16" t="s">
        <v>80</v>
      </c>
      <c r="H739" s="20">
        <f>InputData[[#This Row],[Transacted Units]]*InputData[[#This Row],[Transacted Price (per unit)]]</f>
        <v>10.0886</v>
      </c>
      <c r="I739" s="14"/>
    </row>
    <row r="740" spans="1:9" ht="15.75" customHeight="1" x14ac:dyDescent="0.25">
      <c r="A740" s="16" t="s">
        <v>39</v>
      </c>
      <c r="B740" s="21">
        <v>44419</v>
      </c>
      <c r="C740" s="16" t="s">
        <v>4</v>
      </c>
      <c r="D740" s="17">
        <v>22.3</v>
      </c>
      <c r="E740" s="18">
        <v>1.347</v>
      </c>
      <c r="F740" s="18">
        <v>2.2280000000000001E-2</v>
      </c>
      <c r="G740" s="16" t="s">
        <v>80</v>
      </c>
      <c r="H740" s="20">
        <f>InputData[[#This Row],[Transacted Units]]*InputData[[#This Row],[Transacted Price (per unit)]]</f>
        <v>30.0381</v>
      </c>
      <c r="I740" s="14"/>
    </row>
    <row r="741" spans="1:9" ht="15.75" customHeight="1" x14ac:dyDescent="0.25">
      <c r="A741" s="16" t="s">
        <v>39</v>
      </c>
      <c r="B741" s="21">
        <v>44419</v>
      </c>
      <c r="C741" s="16" t="s">
        <v>4</v>
      </c>
      <c r="D741" s="17">
        <v>34</v>
      </c>
      <c r="E741" s="18">
        <v>1.3226</v>
      </c>
      <c r="F741" s="18">
        <v>3.4029999999999998E-2</v>
      </c>
      <c r="G741" s="16" t="s">
        <v>80</v>
      </c>
      <c r="H741" s="20">
        <f>InputData[[#This Row],[Transacted Units]]*InputData[[#This Row],[Transacted Price (per unit)]]</f>
        <v>44.968400000000003</v>
      </c>
      <c r="I741" s="14"/>
    </row>
    <row r="742" spans="1:9" ht="15.75" customHeight="1" x14ac:dyDescent="0.25">
      <c r="A742" s="16" t="s">
        <v>39</v>
      </c>
      <c r="B742" s="21">
        <v>44419</v>
      </c>
      <c r="C742" s="16" t="s">
        <v>4</v>
      </c>
      <c r="D742" s="17">
        <v>22.6</v>
      </c>
      <c r="E742" s="18">
        <v>1.3302</v>
      </c>
      <c r="F742" s="18">
        <v>2.256E-2</v>
      </c>
      <c r="G742" s="16" t="s">
        <v>80</v>
      </c>
      <c r="H742" s="20">
        <f>InputData[[#This Row],[Transacted Units]]*InputData[[#This Row],[Transacted Price (per unit)]]</f>
        <v>30.062520000000003</v>
      </c>
      <c r="I742" s="14"/>
    </row>
    <row r="743" spans="1:9" ht="15.75" customHeight="1" x14ac:dyDescent="0.25">
      <c r="A743" s="16" t="s">
        <v>39</v>
      </c>
      <c r="B743" s="21">
        <v>44419</v>
      </c>
      <c r="C743" s="16" t="s">
        <v>4</v>
      </c>
      <c r="D743" s="17">
        <v>22.5</v>
      </c>
      <c r="E743" s="18">
        <v>1.3329</v>
      </c>
      <c r="F743" s="18">
        <v>2.249E-2</v>
      </c>
      <c r="G743" s="16" t="s">
        <v>80</v>
      </c>
      <c r="H743" s="20">
        <f>InputData[[#This Row],[Transacted Units]]*InputData[[#This Row],[Transacted Price (per unit)]]</f>
        <v>29.99025</v>
      </c>
      <c r="I743" s="14"/>
    </row>
    <row r="744" spans="1:9" ht="15.75" customHeight="1" x14ac:dyDescent="0.25">
      <c r="A744" s="16" t="s">
        <v>39</v>
      </c>
      <c r="B744" s="21">
        <v>44419</v>
      </c>
      <c r="C744" s="16" t="s">
        <v>4</v>
      </c>
      <c r="D744" s="17">
        <v>34.299999999999997</v>
      </c>
      <c r="E744" s="18">
        <v>1.3130999999999999</v>
      </c>
      <c r="F744" s="18">
        <v>3.4279999999999998E-2</v>
      </c>
      <c r="G744" s="16" t="s">
        <v>80</v>
      </c>
      <c r="H744" s="20">
        <f>InputData[[#This Row],[Transacted Units]]*InputData[[#This Row],[Transacted Price (per unit)]]</f>
        <v>45.039329999999993</v>
      </c>
      <c r="I744" s="14"/>
    </row>
    <row r="745" spans="1:9" ht="15.75" customHeight="1" x14ac:dyDescent="0.25">
      <c r="A745" s="16" t="s">
        <v>39</v>
      </c>
      <c r="B745" s="21">
        <v>44419</v>
      </c>
      <c r="C745" s="16" t="s">
        <v>4</v>
      </c>
      <c r="D745" s="17">
        <v>22.7</v>
      </c>
      <c r="E745" s="18">
        <v>1.3207</v>
      </c>
      <c r="F745" s="18">
        <v>2.2720000000000001E-2</v>
      </c>
      <c r="G745" s="16" t="s">
        <v>80</v>
      </c>
      <c r="H745" s="20">
        <f>InputData[[#This Row],[Transacted Units]]*InputData[[#This Row],[Transacted Price (per unit)]]</f>
        <v>29.979889999999997</v>
      </c>
      <c r="I745" s="14"/>
    </row>
    <row r="746" spans="1:9" ht="15.75" customHeight="1" x14ac:dyDescent="0.25">
      <c r="A746" s="16" t="s">
        <v>39</v>
      </c>
      <c r="B746" s="21">
        <v>44419</v>
      </c>
      <c r="C746" s="16" t="s">
        <v>4</v>
      </c>
      <c r="D746" s="17">
        <v>22.7</v>
      </c>
      <c r="E746" s="18">
        <v>1.3233999999999999</v>
      </c>
      <c r="F746" s="18">
        <v>2.2689999999999998E-2</v>
      </c>
      <c r="G746" s="16" t="s">
        <v>80</v>
      </c>
      <c r="H746" s="20">
        <f>InputData[[#This Row],[Transacted Units]]*InputData[[#This Row],[Transacted Price (per unit)]]</f>
        <v>30.041179999999997</v>
      </c>
      <c r="I746" s="14"/>
    </row>
    <row r="747" spans="1:9" ht="15.75" customHeight="1" x14ac:dyDescent="0.25">
      <c r="A747" s="16" t="s">
        <v>39</v>
      </c>
      <c r="B747" s="21">
        <v>44419</v>
      </c>
      <c r="C747" s="16" t="s">
        <v>4</v>
      </c>
      <c r="D747" s="17">
        <v>22.9</v>
      </c>
      <c r="E747" s="18">
        <v>1.3120000000000001</v>
      </c>
      <c r="F747" s="18">
        <v>2.2870000000000001E-2</v>
      </c>
      <c r="G747" s="16" t="s">
        <v>80</v>
      </c>
      <c r="H747" s="20">
        <f>InputData[[#This Row],[Transacted Units]]*InputData[[#This Row],[Transacted Price (per unit)]]</f>
        <v>30.044799999999999</v>
      </c>
      <c r="I747" s="14"/>
    </row>
    <row r="748" spans="1:9" ht="15.75" customHeight="1" x14ac:dyDescent="0.25">
      <c r="A748" s="16" t="s">
        <v>39</v>
      </c>
      <c r="B748" s="21">
        <v>44419</v>
      </c>
      <c r="C748" s="16" t="s">
        <v>4</v>
      </c>
      <c r="D748" s="17">
        <v>22.8</v>
      </c>
      <c r="E748" s="18">
        <v>1.3147</v>
      </c>
      <c r="F748" s="18">
        <v>2.2839999999999999E-2</v>
      </c>
      <c r="G748" s="16" t="s">
        <v>80</v>
      </c>
      <c r="H748" s="20">
        <f>InputData[[#This Row],[Transacted Units]]*InputData[[#This Row],[Transacted Price (per unit)]]</f>
        <v>29.975159999999999</v>
      </c>
      <c r="I748" s="14"/>
    </row>
    <row r="749" spans="1:9" ht="15.75" customHeight="1" x14ac:dyDescent="0.25">
      <c r="A749" s="16" t="s">
        <v>39</v>
      </c>
      <c r="B749" s="21">
        <v>44419</v>
      </c>
      <c r="C749" s="16" t="s">
        <v>4</v>
      </c>
      <c r="D749" s="17">
        <v>23.2</v>
      </c>
      <c r="E749" s="18">
        <v>1.2950999999999999</v>
      </c>
      <c r="F749" s="18">
        <v>2.317E-2</v>
      </c>
      <c r="G749" s="16" t="s">
        <v>80</v>
      </c>
      <c r="H749" s="20">
        <f>InputData[[#This Row],[Transacted Units]]*InputData[[#This Row],[Transacted Price (per unit)]]</f>
        <v>30.046319999999998</v>
      </c>
      <c r="I749" s="14"/>
    </row>
    <row r="750" spans="1:9" ht="15.75" customHeight="1" x14ac:dyDescent="0.25">
      <c r="A750" s="16" t="s">
        <v>39</v>
      </c>
      <c r="B750" s="21">
        <v>44419</v>
      </c>
      <c r="C750" s="16" t="s">
        <v>4</v>
      </c>
      <c r="D750" s="17">
        <v>23.5</v>
      </c>
      <c r="E750" s="18">
        <v>1.2746999999999999</v>
      </c>
      <c r="F750" s="18">
        <v>2.3539999999999998E-2</v>
      </c>
      <c r="G750" s="16" t="s">
        <v>80</v>
      </c>
      <c r="H750" s="20">
        <f>InputData[[#This Row],[Transacted Units]]*InputData[[#This Row],[Transacted Price (per unit)]]</f>
        <v>29.955449999999999</v>
      </c>
      <c r="I750" s="14"/>
    </row>
    <row r="751" spans="1:9" ht="15.75" customHeight="1" x14ac:dyDescent="0.25">
      <c r="A751" s="16" t="s">
        <v>39</v>
      </c>
      <c r="B751" s="21">
        <v>44419</v>
      </c>
      <c r="C751" s="16" t="s">
        <v>4</v>
      </c>
      <c r="D751" s="17">
        <v>23.5</v>
      </c>
      <c r="E751" s="18">
        <v>1.2773000000000001</v>
      </c>
      <c r="F751" s="18">
        <v>2.349E-2</v>
      </c>
      <c r="G751" s="16" t="s">
        <v>80</v>
      </c>
      <c r="H751" s="20">
        <f>InputData[[#This Row],[Transacted Units]]*InputData[[#This Row],[Transacted Price (per unit)]]</f>
        <v>30.016550000000002</v>
      </c>
      <c r="I751" s="14"/>
    </row>
    <row r="752" spans="1:9" ht="15.75" customHeight="1" x14ac:dyDescent="0.25">
      <c r="A752" s="16" t="s">
        <v>39</v>
      </c>
      <c r="B752" s="21">
        <v>44419</v>
      </c>
      <c r="C752" s="16" t="s">
        <v>4</v>
      </c>
      <c r="D752" s="17">
        <v>36</v>
      </c>
      <c r="E752" s="18">
        <v>1.2501</v>
      </c>
      <c r="F752" s="18">
        <v>3.5999999999999997E-2</v>
      </c>
      <c r="G752" s="16" t="s">
        <v>80</v>
      </c>
      <c r="H752" s="20">
        <f>InputData[[#This Row],[Transacted Units]]*InputData[[#This Row],[Transacted Price (per unit)]]</f>
        <v>45.003599999999999</v>
      </c>
      <c r="I752" s="14"/>
    </row>
    <row r="753" spans="1:9" ht="15.75" customHeight="1" x14ac:dyDescent="0.25">
      <c r="A753" s="16" t="s">
        <v>39</v>
      </c>
      <c r="B753" s="21">
        <v>44419</v>
      </c>
      <c r="C753" s="16" t="s">
        <v>4</v>
      </c>
      <c r="D753" s="17">
        <v>23.9</v>
      </c>
      <c r="E753" s="18">
        <v>1.2573000000000001</v>
      </c>
      <c r="F753" s="18">
        <v>2.3869999999999999E-2</v>
      </c>
      <c r="G753" s="16" t="s">
        <v>80</v>
      </c>
      <c r="H753" s="20">
        <f>InputData[[#This Row],[Transacted Units]]*InputData[[#This Row],[Transacted Price (per unit)]]</f>
        <v>30.049469999999999</v>
      </c>
      <c r="I753" s="14"/>
    </row>
    <row r="754" spans="1:9" ht="15.75" customHeight="1" x14ac:dyDescent="0.25">
      <c r="A754" s="16" t="s">
        <v>39</v>
      </c>
      <c r="B754" s="21">
        <v>44419</v>
      </c>
      <c r="C754" s="16" t="s">
        <v>4</v>
      </c>
      <c r="D754" s="17">
        <v>23.8</v>
      </c>
      <c r="E754" s="18">
        <v>1.2599</v>
      </c>
      <c r="F754" s="18">
        <v>2.3820000000000001E-2</v>
      </c>
      <c r="G754" s="16" t="s">
        <v>80</v>
      </c>
      <c r="H754" s="20">
        <f>InputData[[#This Row],[Transacted Units]]*InputData[[#This Row],[Transacted Price (per unit)]]</f>
        <v>29.985620000000001</v>
      </c>
      <c r="I754" s="14"/>
    </row>
    <row r="755" spans="1:9" ht="15.75" customHeight="1" x14ac:dyDescent="0.25">
      <c r="A755" s="16" t="s">
        <v>39</v>
      </c>
      <c r="B755" s="21">
        <v>44419</v>
      </c>
      <c r="C755" s="16" t="s">
        <v>4</v>
      </c>
      <c r="D755" s="17">
        <v>24.2</v>
      </c>
      <c r="E755" s="18">
        <v>1.238</v>
      </c>
      <c r="F755" s="18">
        <v>2.4240000000000001E-2</v>
      </c>
      <c r="G755" s="16" t="s">
        <v>80</v>
      </c>
      <c r="H755" s="20">
        <f>InputData[[#This Row],[Transacted Units]]*InputData[[#This Row],[Transacted Price (per unit)]]</f>
        <v>29.959599999999998</v>
      </c>
      <c r="I755" s="14"/>
    </row>
    <row r="756" spans="1:9" ht="15.75" customHeight="1" x14ac:dyDescent="0.25">
      <c r="A756" s="16" t="s">
        <v>39</v>
      </c>
      <c r="B756" s="21">
        <v>44419</v>
      </c>
      <c r="C756" s="16" t="s">
        <v>4</v>
      </c>
      <c r="D756" s="17">
        <v>24.2</v>
      </c>
      <c r="E756" s="18">
        <v>1.2404999999999999</v>
      </c>
      <c r="F756" s="18">
        <v>2.419E-2</v>
      </c>
      <c r="G756" s="16" t="s">
        <v>80</v>
      </c>
      <c r="H756" s="20">
        <f>InputData[[#This Row],[Transacted Units]]*InputData[[#This Row],[Transacted Price (per unit)]]</f>
        <v>30.020099999999999</v>
      </c>
      <c r="I756" s="14"/>
    </row>
    <row r="757" spans="1:9" ht="15.75" customHeight="1" x14ac:dyDescent="0.25">
      <c r="A757" s="16" t="s">
        <v>39</v>
      </c>
      <c r="B757" s="21">
        <v>44419</v>
      </c>
      <c r="C757" s="16" t="s">
        <v>4</v>
      </c>
      <c r="D757" s="17">
        <v>24.6</v>
      </c>
      <c r="E757" s="18">
        <v>1.2222999999999999</v>
      </c>
      <c r="F757" s="18">
        <v>2.4570000000000002E-2</v>
      </c>
      <c r="G757" s="16" t="s">
        <v>80</v>
      </c>
      <c r="H757" s="20">
        <f>InputData[[#This Row],[Transacted Units]]*InputData[[#This Row],[Transacted Price (per unit)]]</f>
        <v>30.068580000000001</v>
      </c>
      <c r="I757" s="14"/>
    </row>
    <row r="758" spans="1:9" ht="15.75" customHeight="1" x14ac:dyDescent="0.25">
      <c r="A758" s="16" t="s">
        <v>39</v>
      </c>
      <c r="B758" s="21">
        <v>44419</v>
      </c>
      <c r="C758" s="16" t="s">
        <v>4</v>
      </c>
      <c r="D758" s="17">
        <v>56.1</v>
      </c>
      <c r="E758" s="18">
        <v>1.2030000000000001</v>
      </c>
      <c r="F758" s="18">
        <v>5.611E-2</v>
      </c>
      <c r="G758" s="16" t="s">
        <v>80</v>
      </c>
      <c r="H758" s="20">
        <f>InputData[[#This Row],[Transacted Units]]*InputData[[#This Row],[Transacted Price (per unit)]]</f>
        <v>67.48830000000001</v>
      </c>
      <c r="I758" s="14"/>
    </row>
    <row r="759" spans="1:9" ht="15.75" customHeight="1" x14ac:dyDescent="0.25">
      <c r="A759" s="16" t="s">
        <v>39</v>
      </c>
      <c r="B759" s="21">
        <v>44419</v>
      </c>
      <c r="C759" s="16" t="s">
        <v>4</v>
      </c>
      <c r="D759" s="17">
        <v>37</v>
      </c>
      <c r="E759" s="18">
        <v>1.2162999999999999</v>
      </c>
      <c r="F759" s="18">
        <v>3.6999999999999998E-2</v>
      </c>
      <c r="G759" s="16" t="s">
        <v>80</v>
      </c>
      <c r="H759" s="20">
        <f>InputData[[#This Row],[Transacted Units]]*InputData[[#This Row],[Transacted Price (per unit)]]</f>
        <v>45.003099999999996</v>
      </c>
      <c r="I759" s="14"/>
    </row>
    <row r="760" spans="1:9" ht="15.75" customHeight="1" x14ac:dyDescent="0.25">
      <c r="A760" s="16" t="s">
        <v>39</v>
      </c>
      <c r="B760" s="21">
        <v>44419</v>
      </c>
      <c r="C760" s="16" t="s">
        <v>4</v>
      </c>
      <c r="D760" s="17">
        <v>24.5</v>
      </c>
      <c r="E760" s="18">
        <v>1.2233000000000001</v>
      </c>
      <c r="F760" s="18">
        <v>2.453E-2</v>
      </c>
      <c r="G760" s="16" t="s">
        <v>80</v>
      </c>
      <c r="H760" s="20">
        <f>InputData[[#This Row],[Transacted Units]]*InputData[[#This Row],[Transacted Price (per unit)]]</f>
        <v>29.970850000000002</v>
      </c>
      <c r="I760" s="14"/>
    </row>
    <row r="761" spans="1:9" ht="15.75" customHeight="1" x14ac:dyDescent="0.25">
      <c r="A761" s="16" t="s">
        <v>39</v>
      </c>
      <c r="B761" s="21">
        <v>44419</v>
      </c>
      <c r="C761" s="16" t="s">
        <v>4</v>
      </c>
      <c r="D761" s="17">
        <v>24.5</v>
      </c>
      <c r="E761" s="18">
        <v>1.2258</v>
      </c>
      <c r="F761" s="18">
        <v>2.4479999999999998E-2</v>
      </c>
      <c r="G761" s="16" t="s">
        <v>80</v>
      </c>
      <c r="H761" s="20">
        <f>InputData[[#This Row],[Transacted Units]]*InputData[[#This Row],[Transacted Price (per unit)]]</f>
        <v>30.0321</v>
      </c>
      <c r="I761" s="14"/>
    </row>
    <row r="762" spans="1:9" ht="15.75" customHeight="1" x14ac:dyDescent="0.25">
      <c r="A762" s="16" t="s">
        <v>39</v>
      </c>
      <c r="B762" s="21">
        <v>44419</v>
      </c>
      <c r="C762" s="16" t="s">
        <v>4</v>
      </c>
      <c r="D762" s="17">
        <v>56.1</v>
      </c>
      <c r="E762" s="18">
        <v>1.2037</v>
      </c>
      <c r="F762" s="18">
        <v>5.6079999999999998E-2</v>
      </c>
      <c r="G762" s="16" t="s">
        <v>80</v>
      </c>
      <c r="H762" s="20">
        <f>InputData[[#This Row],[Transacted Units]]*InputData[[#This Row],[Transacted Price (per unit)]]</f>
        <v>67.527569999999997</v>
      </c>
      <c r="I762" s="14"/>
    </row>
    <row r="763" spans="1:9" ht="15.75" customHeight="1" x14ac:dyDescent="0.25">
      <c r="A763" s="16" t="s">
        <v>39</v>
      </c>
      <c r="B763" s="21">
        <v>44419</v>
      </c>
      <c r="C763" s="16" t="s">
        <v>4</v>
      </c>
      <c r="D763" s="17">
        <v>37</v>
      </c>
      <c r="E763" s="18">
        <v>1.2170000000000001</v>
      </c>
      <c r="F763" s="18">
        <v>3.6979999999999999E-2</v>
      </c>
      <c r="G763" s="16" t="s">
        <v>80</v>
      </c>
      <c r="H763" s="20">
        <f>InputData[[#This Row],[Transacted Units]]*InputData[[#This Row],[Transacted Price (per unit)]]</f>
        <v>45.029000000000003</v>
      </c>
      <c r="I763" s="14"/>
    </row>
    <row r="764" spans="1:9" ht="15.75" customHeight="1" x14ac:dyDescent="0.25">
      <c r="A764" s="16" t="s">
        <v>39</v>
      </c>
      <c r="B764" s="21">
        <v>44419</v>
      </c>
      <c r="C764" s="16" t="s">
        <v>4</v>
      </c>
      <c r="D764" s="17">
        <v>24.5</v>
      </c>
      <c r="E764" s="18">
        <v>1.224</v>
      </c>
      <c r="F764" s="18">
        <v>2.4510000000000001E-2</v>
      </c>
      <c r="G764" s="16" t="s">
        <v>80</v>
      </c>
      <c r="H764" s="20">
        <f>InputData[[#This Row],[Transacted Units]]*InputData[[#This Row],[Transacted Price (per unit)]]</f>
        <v>29.988</v>
      </c>
      <c r="I764" s="14"/>
    </row>
    <row r="765" spans="1:9" ht="15.75" customHeight="1" x14ac:dyDescent="0.25">
      <c r="A765" s="16" t="s">
        <v>39</v>
      </c>
      <c r="B765" s="21">
        <v>44419</v>
      </c>
      <c r="C765" s="16" t="s">
        <v>4</v>
      </c>
      <c r="D765" s="17">
        <v>24.5</v>
      </c>
      <c r="E765" s="18">
        <v>1.2264999999999999</v>
      </c>
      <c r="F765" s="18">
        <v>2.4459999999999999E-2</v>
      </c>
      <c r="G765" s="16" t="s">
        <v>80</v>
      </c>
      <c r="H765" s="20">
        <f>InputData[[#This Row],[Transacted Units]]*InputData[[#This Row],[Transacted Price (per unit)]]</f>
        <v>30.049249999999997</v>
      </c>
      <c r="I765" s="14"/>
    </row>
    <row r="766" spans="1:9" ht="15.75" customHeight="1" x14ac:dyDescent="0.25">
      <c r="A766" s="16" t="s">
        <v>39</v>
      </c>
      <c r="B766" s="21">
        <v>44419</v>
      </c>
      <c r="C766" s="16" t="s">
        <v>4</v>
      </c>
      <c r="D766" s="17">
        <v>37</v>
      </c>
      <c r="E766" s="18">
        <v>1.2163999999999999</v>
      </c>
      <c r="F766" s="18">
        <v>3.6999999999999998E-2</v>
      </c>
      <c r="G766" s="16" t="s">
        <v>80</v>
      </c>
      <c r="H766" s="20">
        <f>InputData[[#This Row],[Transacted Units]]*InputData[[#This Row],[Transacted Price (per unit)]]</f>
        <v>45.006799999999998</v>
      </c>
      <c r="I766" s="14"/>
    </row>
    <row r="767" spans="1:9" ht="15.75" customHeight="1" x14ac:dyDescent="0.25">
      <c r="A767" s="16" t="s">
        <v>39</v>
      </c>
      <c r="B767" s="21">
        <v>44419</v>
      </c>
      <c r="C767" s="16" t="s">
        <v>4</v>
      </c>
      <c r="D767" s="17">
        <v>24.5</v>
      </c>
      <c r="E767" s="18">
        <v>1.2234</v>
      </c>
      <c r="F767" s="18">
        <v>2.453E-2</v>
      </c>
      <c r="G767" s="16" t="s">
        <v>80</v>
      </c>
      <c r="H767" s="20">
        <f>InputData[[#This Row],[Transacted Units]]*InputData[[#This Row],[Transacted Price (per unit)]]</f>
        <v>29.973300000000002</v>
      </c>
      <c r="I767" s="14"/>
    </row>
    <row r="768" spans="1:9" ht="15.75" customHeight="1" x14ac:dyDescent="0.25">
      <c r="A768" s="16" t="s">
        <v>39</v>
      </c>
      <c r="B768" s="21">
        <v>44419</v>
      </c>
      <c r="C768" s="16" t="s">
        <v>4</v>
      </c>
      <c r="D768" s="17">
        <v>24.5</v>
      </c>
      <c r="E768" s="18">
        <v>1.2259</v>
      </c>
      <c r="F768" s="18">
        <v>2.4479999999999998E-2</v>
      </c>
      <c r="G768" s="16" t="s">
        <v>80</v>
      </c>
      <c r="H768" s="20">
        <f>InputData[[#This Row],[Transacted Units]]*InputData[[#This Row],[Transacted Price (per unit)]]</f>
        <v>30.034549999999999</v>
      </c>
      <c r="I768" s="14"/>
    </row>
    <row r="769" spans="1:9" ht="15.75" customHeight="1" x14ac:dyDescent="0.25">
      <c r="A769" s="16" t="s">
        <v>39</v>
      </c>
      <c r="B769" s="21">
        <v>44419</v>
      </c>
      <c r="C769" s="16" t="s">
        <v>4</v>
      </c>
      <c r="D769" s="17">
        <v>24.7</v>
      </c>
      <c r="E769" s="18">
        <v>1.2172000000000001</v>
      </c>
      <c r="F769" s="18">
        <v>2.4649999999999998E-2</v>
      </c>
      <c r="G769" s="16" t="s">
        <v>80</v>
      </c>
      <c r="H769" s="20">
        <f>InputData[[#This Row],[Transacted Units]]*InputData[[#This Row],[Transacted Price (per unit)]]</f>
        <v>30.06484</v>
      </c>
      <c r="I769" s="14"/>
    </row>
    <row r="770" spans="1:9" ht="15.75" customHeight="1" x14ac:dyDescent="0.25">
      <c r="A770" s="16" t="s">
        <v>39</v>
      </c>
      <c r="B770" s="21">
        <v>44419</v>
      </c>
      <c r="C770" s="16" t="s">
        <v>4</v>
      </c>
      <c r="D770" s="17">
        <v>24.6</v>
      </c>
      <c r="E770" s="18">
        <v>1.2197</v>
      </c>
      <c r="F770" s="18">
        <v>2.46E-2</v>
      </c>
      <c r="G770" s="16" t="s">
        <v>80</v>
      </c>
      <c r="H770" s="20">
        <f>InputData[[#This Row],[Transacted Units]]*InputData[[#This Row],[Transacted Price (per unit)]]</f>
        <v>30.004620000000003</v>
      </c>
      <c r="I770" s="14"/>
    </row>
    <row r="771" spans="1:9" ht="15.75" customHeight="1" x14ac:dyDescent="0.25">
      <c r="A771" s="16" t="s">
        <v>39</v>
      </c>
      <c r="B771" s="21">
        <v>44419</v>
      </c>
      <c r="C771" s="16" t="s">
        <v>4</v>
      </c>
      <c r="D771" s="17">
        <v>24.8</v>
      </c>
      <c r="E771" s="18">
        <v>1.2119</v>
      </c>
      <c r="F771" s="18">
        <v>2.4760000000000001E-2</v>
      </c>
      <c r="G771" s="16" t="s">
        <v>80</v>
      </c>
      <c r="H771" s="20">
        <f>InputData[[#This Row],[Transacted Units]]*InputData[[#This Row],[Transacted Price (per unit)]]</f>
        <v>30.055119999999999</v>
      </c>
      <c r="I771" s="14"/>
    </row>
    <row r="772" spans="1:9" ht="15.75" customHeight="1" x14ac:dyDescent="0.25">
      <c r="A772" s="16" t="s">
        <v>39</v>
      </c>
      <c r="B772" s="21">
        <v>44419</v>
      </c>
      <c r="C772" s="16" t="s">
        <v>4</v>
      </c>
      <c r="D772" s="17">
        <v>3.9</v>
      </c>
      <c r="E772" s="18">
        <v>1.2144999999999999</v>
      </c>
      <c r="F772" s="18">
        <v>3.9300000000000003E-3</v>
      </c>
      <c r="G772" s="16" t="s">
        <v>80</v>
      </c>
      <c r="H772" s="20">
        <f>InputData[[#This Row],[Transacted Units]]*InputData[[#This Row],[Transacted Price (per unit)]]</f>
        <v>4.7365499999999994</v>
      </c>
      <c r="I772" s="14"/>
    </row>
    <row r="773" spans="1:9" ht="15.75" customHeight="1" x14ac:dyDescent="0.25">
      <c r="A773" s="16" t="s">
        <v>39</v>
      </c>
      <c r="B773" s="21">
        <v>44419</v>
      </c>
      <c r="C773" s="16" t="s">
        <v>4</v>
      </c>
      <c r="D773" s="17">
        <v>20.8</v>
      </c>
      <c r="E773" s="18">
        <v>1.2143999999999999</v>
      </c>
      <c r="F773" s="18">
        <v>2.078E-2</v>
      </c>
      <c r="G773" s="16" t="s">
        <v>80</v>
      </c>
      <c r="H773" s="20">
        <f>InputData[[#This Row],[Transacted Units]]*InputData[[#This Row],[Transacted Price (per unit)]]</f>
        <v>25.259519999999998</v>
      </c>
      <c r="I773" s="14"/>
    </row>
    <row r="774" spans="1:9" ht="15.75" customHeight="1" x14ac:dyDescent="0.25">
      <c r="A774" s="16" t="s">
        <v>39</v>
      </c>
      <c r="B774" s="21">
        <v>44419</v>
      </c>
      <c r="C774" s="16" t="s">
        <v>4</v>
      </c>
      <c r="D774" s="17">
        <v>24.8</v>
      </c>
      <c r="E774" s="18">
        <v>1.2079</v>
      </c>
      <c r="F774" s="18">
        <v>2.4840000000000001E-2</v>
      </c>
      <c r="G774" s="16" t="s">
        <v>80</v>
      </c>
      <c r="H774" s="20">
        <f>InputData[[#This Row],[Transacted Units]]*InputData[[#This Row],[Transacted Price (per unit)]]</f>
        <v>29.955919999999999</v>
      </c>
      <c r="I774" s="14"/>
    </row>
    <row r="775" spans="1:9" ht="15.75" customHeight="1" x14ac:dyDescent="0.25">
      <c r="A775" s="16" t="s">
        <v>39</v>
      </c>
      <c r="B775" s="21">
        <v>44419</v>
      </c>
      <c r="C775" s="16" t="s">
        <v>4</v>
      </c>
      <c r="D775" s="17">
        <v>37.9</v>
      </c>
      <c r="E775" s="18">
        <v>1.1873</v>
      </c>
      <c r="F775" s="18">
        <v>3.7909999999999999E-2</v>
      </c>
      <c r="G775" s="16" t="s">
        <v>80</v>
      </c>
      <c r="H775" s="20">
        <f>InputData[[#This Row],[Transacted Units]]*InputData[[#This Row],[Transacted Price (per unit)]]</f>
        <v>44.998669999999997</v>
      </c>
      <c r="I775" s="14"/>
    </row>
    <row r="776" spans="1:9" ht="15.75" customHeight="1" x14ac:dyDescent="0.25">
      <c r="A776" s="16" t="s">
        <v>39</v>
      </c>
      <c r="B776" s="21">
        <v>44419</v>
      </c>
      <c r="C776" s="16" t="s">
        <v>4</v>
      </c>
      <c r="D776" s="17">
        <v>25.1</v>
      </c>
      <c r="E776" s="18">
        <v>1.1941999999999999</v>
      </c>
      <c r="F776" s="18">
        <v>2.513E-2</v>
      </c>
      <c r="G776" s="16" t="s">
        <v>80</v>
      </c>
      <c r="H776" s="20">
        <f>InputData[[#This Row],[Transacted Units]]*InputData[[#This Row],[Transacted Price (per unit)]]</f>
        <v>29.974419999999999</v>
      </c>
      <c r="I776" s="14"/>
    </row>
    <row r="777" spans="1:9" ht="15.75" customHeight="1" x14ac:dyDescent="0.25">
      <c r="A777" s="16" t="s">
        <v>39</v>
      </c>
      <c r="B777" s="21">
        <v>44419</v>
      </c>
      <c r="C777" s="16" t="s">
        <v>4</v>
      </c>
      <c r="D777" s="17">
        <v>25.1</v>
      </c>
      <c r="E777" s="18">
        <v>1.1966000000000001</v>
      </c>
      <c r="F777" s="18">
        <v>2.5080000000000002E-2</v>
      </c>
      <c r="G777" s="16" t="s">
        <v>80</v>
      </c>
      <c r="H777" s="20">
        <f>InputData[[#This Row],[Transacted Units]]*InputData[[#This Row],[Transacted Price (per unit)]]</f>
        <v>30.034660000000006</v>
      </c>
      <c r="I777" s="14"/>
    </row>
    <row r="778" spans="1:9" ht="15.75" customHeight="1" x14ac:dyDescent="0.25">
      <c r="A778" s="16" t="s">
        <v>39</v>
      </c>
      <c r="B778" s="21">
        <v>44419</v>
      </c>
      <c r="C778" s="16" t="s">
        <v>4</v>
      </c>
      <c r="D778" s="17">
        <v>37.9</v>
      </c>
      <c r="E778" s="18">
        <v>1.1874</v>
      </c>
      <c r="F778" s="18">
        <v>3.7900000000000003E-2</v>
      </c>
      <c r="G778" s="16" t="s">
        <v>80</v>
      </c>
      <c r="H778" s="20">
        <f>InputData[[#This Row],[Transacted Units]]*InputData[[#This Row],[Transacted Price (per unit)]]</f>
        <v>45.002459999999999</v>
      </c>
      <c r="I778" s="14"/>
    </row>
    <row r="779" spans="1:9" ht="15.75" customHeight="1" x14ac:dyDescent="0.25">
      <c r="A779" s="16" t="s">
        <v>39</v>
      </c>
      <c r="B779" s="21">
        <v>44419</v>
      </c>
      <c r="C779" s="16" t="s">
        <v>4</v>
      </c>
      <c r="D779" s="17">
        <v>25.1</v>
      </c>
      <c r="E779" s="18">
        <v>1.1942999999999999</v>
      </c>
      <c r="F779" s="18">
        <v>2.512E-2</v>
      </c>
      <c r="G779" s="16" t="s">
        <v>80</v>
      </c>
      <c r="H779" s="20">
        <f>InputData[[#This Row],[Transacted Units]]*InputData[[#This Row],[Transacted Price (per unit)]]</f>
        <v>29.976929999999999</v>
      </c>
      <c r="I779" s="14"/>
    </row>
    <row r="780" spans="1:9" ht="15.75" customHeight="1" x14ac:dyDescent="0.25">
      <c r="A780" s="16" t="s">
        <v>39</v>
      </c>
      <c r="B780" s="21">
        <v>44419</v>
      </c>
      <c r="C780" s="16" t="s">
        <v>4</v>
      </c>
      <c r="D780" s="17">
        <v>25.1</v>
      </c>
      <c r="E780" s="18">
        <v>1.1967000000000001</v>
      </c>
      <c r="F780" s="18">
        <v>2.5090000000000001E-2</v>
      </c>
      <c r="G780" s="16" t="s">
        <v>80</v>
      </c>
      <c r="H780" s="20">
        <f>InputData[[#This Row],[Transacted Units]]*InputData[[#This Row],[Transacted Price (per unit)]]</f>
        <v>30.037170000000003</v>
      </c>
      <c r="I780" s="14"/>
    </row>
    <row r="781" spans="1:9" ht="15.75" customHeight="1" x14ac:dyDescent="0.25">
      <c r="A781" s="16" t="s">
        <v>39</v>
      </c>
      <c r="B781" s="21">
        <v>44419</v>
      </c>
      <c r="C781" s="16" t="s">
        <v>4</v>
      </c>
      <c r="D781" s="17">
        <v>25.3</v>
      </c>
      <c r="E781" s="18">
        <v>1.1881999999999999</v>
      </c>
      <c r="F781" s="18">
        <v>2.5250000000000002E-2</v>
      </c>
      <c r="G781" s="16" t="s">
        <v>80</v>
      </c>
      <c r="H781" s="20">
        <f>InputData[[#This Row],[Transacted Units]]*InputData[[#This Row],[Transacted Price (per unit)]]</f>
        <v>30.06146</v>
      </c>
      <c r="I781" s="14"/>
    </row>
    <row r="782" spans="1:9" ht="15.75" customHeight="1" x14ac:dyDescent="0.25">
      <c r="A782" s="16" t="s">
        <v>39</v>
      </c>
      <c r="B782" s="21">
        <v>44419</v>
      </c>
      <c r="C782" s="16" t="s">
        <v>4</v>
      </c>
      <c r="D782" s="17">
        <v>25.2</v>
      </c>
      <c r="E782" s="18">
        <v>1.1906000000000001</v>
      </c>
      <c r="F782" s="18">
        <v>2.52E-2</v>
      </c>
      <c r="G782" s="16" t="s">
        <v>80</v>
      </c>
      <c r="H782" s="20">
        <f>InputData[[#This Row],[Transacted Units]]*InputData[[#This Row],[Transacted Price (per unit)]]</f>
        <v>30.003120000000003</v>
      </c>
      <c r="I782" s="14"/>
    </row>
    <row r="783" spans="1:9" ht="15.75" customHeight="1" x14ac:dyDescent="0.25">
      <c r="A783" s="16" t="s">
        <v>39</v>
      </c>
      <c r="B783" s="21">
        <v>44419</v>
      </c>
      <c r="C783" s="16" t="s">
        <v>4</v>
      </c>
      <c r="D783" s="17">
        <v>25.5</v>
      </c>
      <c r="E783" s="18">
        <v>1.1775</v>
      </c>
      <c r="F783" s="18">
        <v>2.5489999999999999E-2</v>
      </c>
      <c r="G783" s="16" t="s">
        <v>80</v>
      </c>
      <c r="H783" s="20">
        <f>InputData[[#This Row],[Transacted Units]]*InputData[[#This Row],[Transacted Price (per unit)]]</f>
        <v>30.026250000000001</v>
      </c>
      <c r="I783" s="14"/>
    </row>
    <row r="784" spans="1:9" ht="15.75" customHeight="1" x14ac:dyDescent="0.25">
      <c r="A784" s="16" t="s">
        <v>39</v>
      </c>
      <c r="B784" s="21">
        <v>44418</v>
      </c>
      <c r="C784" s="16" t="s">
        <v>4</v>
      </c>
      <c r="D784" s="17">
        <v>38.700000000000003</v>
      </c>
      <c r="E784" s="18">
        <v>1.1621999999999999</v>
      </c>
      <c r="F784" s="18">
        <v>3.8719999999999997E-2</v>
      </c>
      <c r="G784" s="16" t="s">
        <v>80</v>
      </c>
      <c r="H784" s="20">
        <f>InputData[[#This Row],[Transacted Units]]*InputData[[#This Row],[Transacted Price (per unit)]]</f>
        <v>44.977139999999999</v>
      </c>
      <c r="I784" s="14"/>
    </row>
    <row r="785" spans="1:9" ht="15.75" customHeight="1" x14ac:dyDescent="0.25">
      <c r="A785" s="16" t="s">
        <v>39</v>
      </c>
      <c r="B785" s="21">
        <v>44418</v>
      </c>
      <c r="C785" s="16" t="s">
        <v>4</v>
      </c>
      <c r="D785" s="17">
        <v>25.7</v>
      </c>
      <c r="E785" s="18">
        <v>1.1689000000000001</v>
      </c>
      <c r="F785" s="18">
        <v>2.5669999999999998E-2</v>
      </c>
      <c r="G785" s="16" t="s">
        <v>80</v>
      </c>
      <c r="H785" s="20">
        <f>InputData[[#This Row],[Transacted Units]]*InputData[[#This Row],[Transacted Price (per unit)]]</f>
        <v>30.04073</v>
      </c>
      <c r="I785" s="14"/>
    </row>
    <row r="786" spans="1:9" ht="15.75" customHeight="1" x14ac:dyDescent="0.25">
      <c r="A786" s="16" t="s">
        <v>39</v>
      </c>
      <c r="B786" s="21">
        <v>44418</v>
      </c>
      <c r="C786" s="16" t="s">
        <v>4</v>
      </c>
      <c r="D786" s="17">
        <v>25.6</v>
      </c>
      <c r="E786" s="18">
        <v>1.1713</v>
      </c>
      <c r="F786" s="18">
        <v>2.5600000000000001E-2</v>
      </c>
      <c r="G786" s="16" t="s">
        <v>80</v>
      </c>
      <c r="H786" s="20">
        <f>InputData[[#This Row],[Transacted Units]]*InputData[[#This Row],[Transacted Price (per unit)]]</f>
        <v>29.985280000000003</v>
      </c>
      <c r="I786" s="14"/>
    </row>
    <row r="787" spans="1:9" ht="15.75" customHeight="1" x14ac:dyDescent="0.25">
      <c r="A787" s="16" t="s">
        <v>39</v>
      </c>
      <c r="B787" s="21">
        <v>44418</v>
      </c>
      <c r="C787" s="16" t="s">
        <v>4</v>
      </c>
      <c r="D787" s="17">
        <v>38.799999999999997</v>
      </c>
      <c r="E787" s="18">
        <v>1.1599999999999999</v>
      </c>
      <c r="F787" s="18">
        <v>3.8800000000000001E-2</v>
      </c>
      <c r="G787" s="16" t="s">
        <v>80</v>
      </c>
      <c r="H787" s="20">
        <f>InputData[[#This Row],[Transacted Units]]*InputData[[#This Row],[Transacted Price (per unit)]]</f>
        <v>45.007999999999996</v>
      </c>
      <c r="I787" s="14"/>
    </row>
    <row r="788" spans="1:9" ht="15.75" customHeight="1" x14ac:dyDescent="0.25">
      <c r="A788" s="16" t="s">
        <v>39</v>
      </c>
      <c r="B788" s="21">
        <v>44418</v>
      </c>
      <c r="C788" s="16" t="s">
        <v>4</v>
      </c>
      <c r="D788" s="17">
        <v>25.7</v>
      </c>
      <c r="E788" s="18">
        <v>1.1667000000000001</v>
      </c>
      <c r="F788" s="18">
        <v>2.572E-2</v>
      </c>
      <c r="G788" s="16" t="s">
        <v>80</v>
      </c>
      <c r="H788" s="20">
        <f>InputData[[#This Row],[Transacted Units]]*InputData[[#This Row],[Transacted Price (per unit)]]</f>
        <v>29.984190000000002</v>
      </c>
      <c r="I788" s="14"/>
    </row>
    <row r="789" spans="1:9" ht="15.75" customHeight="1" x14ac:dyDescent="0.25">
      <c r="A789" s="16" t="s">
        <v>39</v>
      </c>
      <c r="B789" s="21">
        <v>44418</v>
      </c>
      <c r="C789" s="16" t="s">
        <v>4</v>
      </c>
      <c r="D789" s="17">
        <v>25.7</v>
      </c>
      <c r="E789" s="18">
        <v>1.1691</v>
      </c>
      <c r="F789" s="18">
        <v>2.5669999999999998E-2</v>
      </c>
      <c r="G789" s="16" t="s">
        <v>80</v>
      </c>
      <c r="H789" s="20">
        <f>InputData[[#This Row],[Transacted Units]]*InputData[[#This Row],[Transacted Price (per unit)]]</f>
        <v>30.045870000000001</v>
      </c>
      <c r="I789" s="14"/>
    </row>
    <row r="790" spans="1:9" ht="15.75" customHeight="1" x14ac:dyDescent="0.25">
      <c r="A790" s="16" t="s">
        <v>39</v>
      </c>
      <c r="B790" s="21">
        <v>44418</v>
      </c>
      <c r="C790" s="16" t="s">
        <v>4</v>
      </c>
      <c r="D790" s="17">
        <v>25.9</v>
      </c>
      <c r="E790" s="18">
        <v>1.1575</v>
      </c>
      <c r="F790" s="18">
        <v>2.5899999999999999E-2</v>
      </c>
      <c r="G790" s="16" t="s">
        <v>80</v>
      </c>
      <c r="H790" s="20">
        <f>InputData[[#This Row],[Transacted Units]]*InputData[[#This Row],[Transacted Price (per unit)]]</f>
        <v>29.979249999999997</v>
      </c>
      <c r="I790" s="14"/>
    </row>
    <row r="791" spans="1:9" ht="15.75" customHeight="1" x14ac:dyDescent="0.25">
      <c r="A791" s="16" t="s">
        <v>39</v>
      </c>
      <c r="B791" s="21">
        <v>44418</v>
      </c>
      <c r="C791" s="16" t="s">
        <v>4</v>
      </c>
      <c r="D791" s="17">
        <v>39.299999999999997</v>
      </c>
      <c r="E791" s="18">
        <v>1.1452</v>
      </c>
      <c r="F791" s="18">
        <v>3.9300000000000002E-2</v>
      </c>
      <c r="G791" s="16" t="s">
        <v>80</v>
      </c>
      <c r="H791" s="20">
        <f>InputData[[#This Row],[Transacted Units]]*InputData[[#This Row],[Transacted Price (per unit)]]</f>
        <v>45.006359999999994</v>
      </c>
      <c r="I791" s="14"/>
    </row>
    <row r="792" spans="1:9" ht="15.75" customHeight="1" x14ac:dyDescent="0.25">
      <c r="A792" s="16" t="s">
        <v>39</v>
      </c>
      <c r="B792" s="21">
        <v>44418</v>
      </c>
      <c r="C792" s="16" t="s">
        <v>4</v>
      </c>
      <c r="D792" s="17">
        <v>26.1</v>
      </c>
      <c r="E792" s="18">
        <v>1.1516999999999999</v>
      </c>
      <c r="F792" s="18">
        <v>2.605E-2</v>
      </c>
      <c r="G792" s="16" t="s">
        <v>80</v>
      </c>
      <c r="H792" s="20">
        <f>InputData[[#This Row],[Transacted Units]]*InputData[[#This Row],[Transacted Price (per unit)]]</f>
        <v>30.059370000000001</v>
      </c>
      <c r="I792" s="14"/>
    </row>
    <row r="793" spans="1:9" ht="15.75" customHeight="1" x14ac:dyDescent="0.25">
      <c r="A793" s="16" t="s">
        <v>39</v>
      </c>
      <c r="B793" s="21">
        <v>44418</v>
      </c>
      <c r="C793" s="16" t="s">
        <v>4</v>
      </c>
      <c r="D793" s="17">
        <v>26</v>
      </c>
      <c r="E793" s="18">
        <v>1.1540999999999999</v>
      </c>
      <c r="F793" s="18">
        <v>2.596E-2</v>
      </c>
      <c r="G793" s="16" t="s">
        <v>80</v>
      </c>
      <c r="H793" s="20">
        <f>InputData[[#This Row],[Transacted Units]]*InputData[[#This Row],[Transacted Price (per unit)]]</f>
        <v>30.006599999999999</v>
      </c>
      <c r="I793" s="14"/>
    </row>
    <row r="794" spans="1:9" ht="15.75" customHeight="1" x14ac:dyDescent="0.25">
      <c r="A794" s="16" t="s">
        <v>39</v>
      </c>
      <c r="B794" s="21">
        <v>44418</v>
      </c>
      <c r="C794" s="16" t="s">
        <v>4</v>
      </c>
      <c r="D794" s="17">
        <v>0</v>
      </c>
      <c r="E794" s="18">
        <v>1.1538999999999999</v>
      </c>
      <c r="F794" s="18">
        <v>4.0000000000000003E-5</v>
      </c>
      <c r="G794" s="16" t="s">
        <v>80</v>
      </c>
      <c r="H794" s="20">
        <f>InputData[[#This Row],[Transacted Units]]*InputData[[#This Row],[Transacted Price (per unit)]]</f>
        <v>0</v>
      </c>
      <c r="I794" s="14"/>
    </row>
    <row r="795" spans="1:9" ht="15.75" customHeight="1" x14ac:dyDescent="0.25">
      <c r="A795" s="16" t="s">
        <v>39</v>
      </c>
      <c r="B795" s="21">
        <v>44418</v>
      </c>
      <c r="C795" s="16" t="s">
        <v>4</v>
      </c>
      <c r="D795" s="17">
        <v>26.2</v>
      </c>
      <c r="E795" s="18">
        <v>1.1436999999999999</v>
      </c>
      <c r="F795" s="18">
        <v>2.6239999999999999E-2</v>
      </c>
      <c r="G795" s="16" t="s">
        <v>80</v>
      </c>
      <c r="H795" s="20">
        <f>InputData[[#This Row],[Transacted Units]]*InputData[[#This Row],[Transacted Price (per unit)]]</f>
        <v>29.964939999999999</v>
      </c>
      <c r="I795" s="14"/>
    </row>
    <row r="796" spans="1:9" ht="15.75" customHeight="1" x14ac:dyDescent="0.25">
      <c r="A796" s="16" t="s">
        <v>39</v>
      </c>
      <c r="B796" s="21">
        <v>44418</v>
      </c>
      <c r="C796" s="16" t="s">
        <v>4</v>
      </c>
      <c r="D796" s="17">
        <v>26.2</v>
      </c>
      <c r="E796" s="18">
        <v>1.1459999999999999</v>
      </c>
      <c r="F796" s="18">
        <v>2.6159999999999999E-2</v>
      </c>
      <c r="G796" s="16" t="s">
        <v>80</v>
      </c>
      <c r="H796" s="20">
        <f>InputData[[#This Row],[Transacted Units]]*InputData[[#This Row],[Transacted Price (per unit)]]</f>
        <v>30.025199999999998</v>
      </c>
      <c r="I796" s="14"/>
    </row>
    <row r="797" spans="1:9" ht="15.75" customHeight="1" x14ac:dyDescent="0.25">
      <c r="A797" s="16" t="s">
        <v>39</v>
      </c>
      <c r="B797" s="21">
        <v>44418</v>
      </c>
      <c r="C797" s="16" t="s">
        <v>4</v>
      </c>
      <c r="D797" s="17">
        <v>90.7</v>
      </c>
      <c r="E797" s="18">
        <v>1.1164000000000001</v>
      </c>
      <c r="F797" s="18">
        <v>9.0700000000000003E-2</v>
      </c>
      <c r="G797" s="16" t="s">
        <v>80</v>
      </c>
      <c r="H797" s="20">
        <f>InputData[[#This Row],[Transacted Units]]*InputData[[#This Row],[Transacted Price (per unit)]]</f>
        <v>101.25748000000002</v>
      </c>
      <c r="I797" s="14"/>
    </row>
    <row r="798" spans="1:9" ht="15.75" customHeight="1" x14ac:dyDescent="0.25">
      <c r="A798" s="16" t="s">
        <v>39</v>
      </c>
      <c r="B798" s="21">
        <v>44418</v>
      </c>
      <c r="C798" s="16" t="s">
        <v>4</v>
      </c>
      <c r="D798" s="17">
        <v>48.35</v>
      </c>
      <c r="E798" s="18">
        <v>1.1403000000000001</v>
      </c>
      <c r="F798" s="18">
        <v>4.8349999999999997E-2</v>
      </c>
      <c r="G798" s="16" t="s">
        <v>80</v>
      </c>
      <c r="H798" s="20">
        <f>InputData[[#This Row],[Transacted Units]]*InputData[[#This Row],[Transacted Price (per unit)]]</f>
        <v>55.133505000000007</v>
      </c>
      <c r="I798" s="14"/>
    </row>
    <row r="799" spans="1:9" ht="15.75" customHeight="1" x14ac:dyDescent="0.25">
      <c r="A799" s="16" t="s">
        <v>39</v>
      </c>
      <c r="B799" s="21">
        <v>44418</v>
      </c>
      <c r="C799" s="16" t="s">
        <v>4</v>
      </c>
      <c r="D799" s="17">
        <v>10.85</v>
      </c>
      <c r="E799" s="18">
        <v>1.1403000000000001</v>
      </c>
      <c r="F799" s="18">
        <v>1.085E-2</v>
      </c>
      <c r="G799" s="16" t="s">
        <v>80</v>
      </c>
      <c r="H799" s="20">
        <f>InputData[[#This Row],[Transacted Units]]*InputData[[#This Row],[Transacted Price (per unit)]]</f>
        <v>12.372255000000001</v>
      </c>
      <c r="I799" s="14"/>
    </row>
    <row r="800" spans="1:9" ht="15.75" customHeight="1" x14ac:dyDescent="0.25">
      <c r="A800" s="16" t="s">
        <v>39</v>
      </c>
      <c r="B800" s="21">
        <v>44418</v>
      </c>
      <c r="C800" s="16" t="s">
        <v>4</v>
      </c>
      <c r="D800" s="17">
        <v>39.04</v>
      </c>
      <c r="E800" s="18">
        <v>1.1529</v>
      </c>
      <c r="F800" s="18">
        <v>3.9039999999999998E-2</v>
      </c>
      <c r="G800" s="16" t="s">
        <v>80</v>
      </c>
      <c r="H800" s="20">
        <f>InputData[[#This Row],[Transacted Units]]*InputData[[#This Row],[Transacted Price (per unit)]]</f>
        <v>45.009216000000002</v>
      </c>
      <c r="I800" s="14"/>
    </row>
    <row r="801" spans="1:9" ht="15.75" customHeight="1" x14ac:dyDescent="0.25">
      <c r="A801" s="16" t="s">
        <v>39</v>
      </c>
      <c r="B801" s="21">
        <v>44418</v>
      </c>
      <c r="C801" s="16" t="s">
        <v>4</v>
      </c>
      <c r="D801" s="17">
        <v>25.88</v>
      </c>
      <c r="E801" s="18">
        <v>1.1595</v>
      </c>
      <c r="F801" s="18">
        <v>2.588E-2</v>
      </c>
      <c r="G801" s="16" t="s">
        <v>80</v>
      </c>
      <c r="H801" s="20">
        <f>InputData[[#This Row],[Transacted Units]]*InputData[[#This Row],[Transacted Price (per unit)]]</f>
        <v>30.007859999999997</v>
      </c>
      <c r="I801" s="14"/>
    </row>
    <row r="802" spans="1:9" ht="15.75" customHeight="1" x14ac:dyDescent="0.25">
      <c r="A802" s="16" t="s">
        <v>39</v>
      </c>
      <c r="B802" s="21">
        <v>44418</v>
      </c>
      <c r="C802" s="16" t="s">
        <v>4</v>
      </c>
      <c r="D802" s="17">
        <v>25.82</v>
      </c>
      <c r="E802" s="18">
        <v>1.1618999999999999</v>
      </c>
      <c r="F802" s="18">
        <v>2.5819999999999999E-2</v>
      </c>
      <c r="G802" s="16" t="s">
        <v>80</v>
      </c>
      <c r="H802" s="20">
        <f>InputData[[#This Row],[Transacted Units]]*InputData[[#This Row],[Transacted Price (per unit)]]</f>
        <v>30.000257999999999</v>
      </c>
      <c r="I802" s="14"/>
    </row>
    <row r="803" spans="1:9" ht="15.75" customHeight="1" x14ac:dyDescent="0.25">
      <c r="A803" s="16" t="s">
        <v>39</v>
      </c>
      <c r="B803" s="21">
        <v>44418</v>
      </c>
      <c r="C803" s="16" t="s">
        <v>4</v>
      </c>
      <c r="D803" s="17">
        <v>26.01</v>
      </c>
      <c r="E803" s="18">
        <v>1.1536</v>
      </c>
      <c r="F803" s="18">
        <v>2.6009999999999998E-2</v>
      </c>
      <c r="G803" s="16" t="s">
        <v>80</v>
      </c>
      <c r="H803" s="20">
        <f>InputData[[#This Row],[Transacted Units]]*InputData[[#This Row],[Transacted Price (per unit)]]</f>
        <v>30.005136</v>
      </c>
      <c r="I803" s="14"/>
    </row>
    <row r="804" spans="1:9" ht="15.75" customHeight="1" x14ac:dyDescent="0.25">
      <c r="A804" s="16" t="s">
        <v>39</v>
      </c>
      <c r="B804" s="21">
        <v>44418</v>
      </c>
      <c r="C804" s="16" t="s">
        <v>4</v>
      </c>
      <c r="D804" s="17">
        <v>25.93</v>
      </c>
      <c r="E804" s="18">
        <v>1.1559999999999999</v>
      </c>
      <c r="F804" s="18">
        <v>2.5930000000000002E-2</v>
      </c>
      <c r="G804" s="16" t="s">
        <v>80</v>
      </c>
      <c r="H804" s="20">
        <f>InputData[[#This Row],[Transacted Units]]*InputData[[#This Row],[Transacted Price (per unit)]]</f>
        <v>29.975079999999998</v>
      </c>
      <c r="I804" s="14"/>
    </row>
    <row r="805" spans="1:9" ht="15.75" customHeight="1" x14ac:dyDescent="0.25">
      <c r="A805" s="16" t="s">
        <v>39</v>
      </c>
      <c r="B805" s="21">
        <v>44418</v>
      </c>
      <c r="C805" s="16" t="s">
        <v>4</v>
      </c>
      <c r="D805" s="17">
        <v>26.13</v>
      </c>
      <c r="E805" s="18">
        <v>1.1483000000000001</v>
      </c>
      <c r="F805" s="18">
        <v>2.613E-2</v>
      </c>
      <c r="G805" s="16" t="s">
        <v>80</v>
      </c>
      <c r="H805" s="20">
        <f>InputData[[#This Row],[Transacted Units]]*InputData[[#This Row],[Transacted Price (per unit)]]</f>
        <v>30.005079000000002</v>
      </c>
      <c r="I805" s="14"/>
    </row>
    <row r="806" spans="1:9" ht="15.75" customHeight="1" x14ac:dyDescent="0.25">
      <c r="A806" s="16" t="s">
        <v>39</v>
      </c>
      <c r="B806" s="21">
        <v>44418</v>
      </c>
      <c r="C806" s="16" t="s">
        <v>4</v>
      </c>
      <c r="D806" s="17">
        <v>26.62</v>
      </c>
      <c r="E806" s="18">
        <v>1.1271</v>
      </c>
      <c r="F806" s="18">
        <v>2.6620000000000001E-2</v>
      </c>
      <c r="G806" s="16" t="s">
        <v>80</v>
      </c>
      <c r="H806" s="20">
        <f>InputData[[#This Row],[Transacted Units]]*InputData[[#This Row],[Transacted Price (per unit)]]</f>
        <v>30.003402000000001</v>
      </c>
      <c r="I806" s="14"/>
    </row>
    <row r="807" spans="1:9" ht="15.75" customHeight="1" x14ac:dyDescent="0.25">
      <c r="A807" s="16" t="s">
        <v>39</v>
      </c>
      <c r="B807" s="21">
        <v>44418</v>
      </c>
      <c r="C807" s="16" t="s">
        <v>4</v>
      </c>
      <c r="D807" s="17">
        <v>40.549999999999997</v>
      </c>
      <c r="E807" s="18">
        <v>1.1097999999999999</v>
      </c>
      <c r="F807" s="18">
        <v>4.0550000000000003E-2</v>
      </c>
      <c r="G807" s="16" t="s">
        <v>80</v>
      </c>
      <c r="H807" s="20">
        <f>InputData[[#This Row],[Transacted Units]]*InputData[[#This Row],[Transacted Price (per unit)]]</f>
        <v>45.002389999999991</v>
      </c>
      <c r="I807" s="14"/>
    </row>
    <row r="808" spans="1:9" ht="15.75" customHeight="1" x14ac:dyDescent="0.25">
      <c r="A808" s="16" t="s">
        <v>39</v>
      </c>
      <c r="B808" s="21">
        <v>44418</v>
      </c>
      <c r="C808" s="16" t="s">
        <v>4</v>
      </c>
      <c r="D808" s="17">
        <v>26.88</v>
      </c>
      <c r="E808" s="18">
        <v>1.1162000000000001</v>
      </c>
      <c r="F808" s="18">
        <v>2.6880000000000001E-2</v>
      </c>
      <c r="G808" s="16" t="s">
        <v>80</v>
      </c>
      <c r="H808" s="20">
        <f>InputData[[#This Row],[Transacted Units]]*InputData[[#This Row],[Transacted Price (per unit)]]</f>
        <v>30.003456</v>
      </c>
      <c r="I808" s="14"/>
    </row>
    <row r="809" spans="1:9" ht="15.75" customHeight="1" x14ac:dyDescent="0.25">
      <c r="A809" s="16" t="s">
        <v>39</v>
      </c>
      <c r="B809" s="21">
        <v>44418</v>
      </c>
      <c r="C809" s="16" t="s">
        <v>4</v>
      </c>
      <c r="D809" s="17">
        <v>26.83</v>
      </c>
      <c r="E809" s="18">
        <v>1.1185</v>
      </c>
      <c r="F809" s="18">
        <v>2.683E-2</v>
      </c>
      <c r="G809" s="16" t="s">
        <v>80</v>
      </c>
      <c r="H809" s="20">
        <f>InputData[[#This Row],[Transacted Units]]*InputData[[#This Row],[Transacted Price (per unit)]]</f>
        <v>30.009354999999999</v>
      </c>
      <c r="I809" s="14"/>
    </row>
    <row r="810" spans="1:9" ht="15.75" customHeight="1" x14ac:dyDescent="0.25">
      <c r="A810" s="16" t="s">
        <v>39</v>
      </c>
      <c r="B810" s="21">
        <v>44418</v>
      </c>
      <c r="C810" s="16" t="s">
        <v>4</v>
      </c>
      <c r="D810" s="17">
        <v>61.36</v>
      </c>
      <c r="E810" s="18">
        <v>1.1001000000000001</v>
      </c>
      <c r="F810" s="18">
        <v>6.1359999999999998E-2</v>
      </c>
      <c r="G810" s="16" t="s">
        <v>80</v>
      </c>
      <c r="H810" s="20">
        <f>InputData[[#This Row],[Transacted Units]]*InputData[[#This Row],[Transacted Price (per unit)]]</f>
        <v>67.502136000000007</v>
      </c>
      <c r="I810" s="14"/>
    </row>
    <row r="811" spans="1:9" ht="15.75" customHeight="1" x14ac:dyDescent="0.25">
      <c r="A811" s="16" t="s">
        <v>39</v>
      </c>
      <c r="B811" s="21">
        <v>44418</v>
      </c>
      <c r="C811" s="16" t="s">
        <v>4</v>
      </c>
      <c r="D811" s="17">
        <v>40.47</v>
      </c>
      <c r="E811" s="18">
        <v>1.1122000000000001</v>
      </c>
      <c r="F811" s="18">
        <v>4.0469999999999999E-2</v>
      </c>
      <c r="G811" s="16" t="s">
        <v>80</v>
      </c>
      <c r="H811" s="20">
        <f>InputData[[#This Row],[Transacted Units]]*InputData[[#This Row],[Transacted Price (per unit)]]</f>
        <v>45.010733999999999</v>
      </c>
      <c r="I811" s="14"/>
    </row>
    <row r="812" spans="1:9" ht="15.75" customHeight="1" x14ac:dyDescent="0.25">
      <c r="A812" s="16" t="s">
        <v>39</v>
      </c>
      <c r="B812" s="21">
        <v>44418</v>
      </c>
      <c r="C812" s="16" t="s">
        <v>4</v>
      </c>
      <c r="D812" s="17">
        <v>26.82</v>
      </c>
      <c r="E812" s="18">
        <v>1.1186</v>
      </c>
      <c r="F812" s="18">
        <v>2.682E-2</v>
      </c>
      <c r="G812" s="16" t="s">
        <v>80</v>
      </c>
      <c r="H812" s="20">
        <f>InputData[[#This Row],[Transacted Units]]*InputData[[#This Row],[Transacted Price (per unit)]]</f>
        <v>30.000852000000002</v>
      </c>
      <c r="I812" s="14"/>
    </row>
    <row r="813" spans="1:9" ht="15.75" customHeight="1" x14ac:dyDescent="0.25">
      <c r="A813" s="16" t="s">
        <v>39</v>
      </c>
      <c r="B813" s="21">
        <v>44418</v>
      </c>
      <c r="C813" s="16" t="s">
        <v>4</v>
      </c>
      <c r="D813" s="17">
        <v>26.77</v>
      </c>
      <c r="E813" s="18">
        <v>1.1209</v>
      </c>
      <c r="F813" s="18">
        <v>2.6769999999999999E-2</v>
      </c>
      <c r="G813" s="16" t="s">
        <v>80</v>
      </c>
      <c r="H813" s="20">
        <f>InputData[[#This Row],[Transacted Units]]*InputData[[#This Row],[Transacted Price (per unit)]]</f>
        <v>30.006492999999999</v>
      </c>
      <c r="I813" s="14"/>
    </row>
    <row r="814" spans="1:9" ht="15.75" customHeight="1" x14ac:dyDescent="0.25">
      <c r="A814" s="16" t="s">
        <v>39</v>
      </c>
      <c r="B814" s="21">
        <v>44417</v>
      </c>
      <c r="C814" s="16" t="s">
        <v>4</v>
      </c>
      <c r="D814" s="17">
        <v>40.79</v>
      </c>
      <c r="E814" s="18">
        <v>1.1033999999999999</v>
      </c>
      <c r="F814" s="18">
        <v>4.079E-2</v>
      </c>
      <c r="G814" s="16" t="s">
        <v>80</v>
      </c>
      <c r="H814" s="20">
        <f>InputData[[#This Row],[Transacted Units]]*InputData[[#This Row],[Transacted Price (per unit)]]</f>
        <v>45.007686</v>
      </c>
      <c r="I814" s="14"/>
    </row>
    <row r="815" spans="1:9" ht="15.75" customHeight="1" x14ac:dyDescent="0.25">
      <c r="A815" s="16" t="s">
        <v>39</v>
      </c>
      <c r="B815" s="21">
        <v>44417</v>
      </c>
      <c r="C815" s="16" t="s">
        <v>4</v>
      </c>
      <c r="D815" s="17">
        <v>26.9</v>
      </c>
      <c r="E815" s="18">
        <v>1.1155999999999999</v>
      </c>
      <c r="F815" s="18">
        <v>2.69E-2</v>
      </c>
      <c r="G815" s="16" t="s">
        <v>80</v>
      </c>
      <c r="H815" s="20">
        <f>InputData[[#This Row],[Transacted Units]]*InputData[[#This Row],[Transacted Price (per unit)]]</f>
        <v>30.009639999999997</v>
      </c>
      <c r="I815" s="14"/>
    </row>
    <row r="816" spans="1:9" ht="15.75" customHeight="1" x14ac:dyDescent="0.25">
      <c r="A816" s="16" t="s">
        <v>39</v>
      </c>
      <c r="B816" s="21">
        <v>44417</v>
      </c>
      <c r="C816" s="16" t="s">
        <v>4</v>
      </c>
      <c r="D816" s="17">
        <v>17.829999999999998</v>
      </c>
      <c r="E816" s="18">
        <v>1.1220000000000001</v>
      </c>
      <c r="F816" s="18">
        <v>1.7829999999999999E-2</v>
      </c>
      <c r="G816" s="16" t="s">
        <v>80</v>
      </c>
      <c r="H816" s="20">
        <f>InputData[[#This Row],[Transacted Units]]*InputData[[#This Row],[Transacted Price (per unit)]]</f>
        <v>20.00526</v>
      </c>
      <c r="I816" s="14"/>
    </row>
    <row r="817" spans="1:9" ht="15.75" customHeight="1" x14ac:dyDescent="0.25">
      <c r="A817" s="16" t="s">
        <v>39</v>
      </c>
      <c r="B817" s="21">
        <v>44417</v>
      </c>
      <c r="C817" s="16" t="s">
        <v>4</v>
      </c>
      <c r="D817" s="17">
        <v>8.99</v>
      </c>
      <c r="E817" s="18">
        <v>1.1243000000000001</v>
      </c>
      <c r="F817" s="18">
        <v>8.9899999999999997E-3</v>
      </c>
      <c r="G817" s="16" t="s">
        <v>80</v>
      </c>
      <c r="H817" s="20">
        <f>InputData[[#This Row],[Transacted Units]]*InputData[[#This Row],[Transacted Price (per unit)]]</f>
        <v>10.107457</v>
      </c>
      <c r="I817" s="14"/>
    </row>
    <row r="818" spans="1:9" ht="15.75" customHeight="1" x14ac:dyDescent="0.25">
      <c r="A818" s="16" t="s">
        <v>39</v>
      </c>
      <c r="B818" s="21">
        <v>44417</v>
      </c>
      <c r="C818" s="16" t="s">
        <v>4</v>
      </c>
      <c r="D818" s="17">
        <v>26.99</v>
      </c>
      <c r="E818" s="18">
        <v>1.1119000000000001</v>
      </c>
      <c r="F818" s="18">
        <v>2.699E-2</v>
      </c>
      <c r="G818" s="16" t="s">
        <v>80</v>
      </c>
      <c r="H818" s="20">
        <f>InputData[[#This Row],[Transacted Units]]*InputData[[#This Row],[Transacted Price (per unit)]]</f>
        <v>30.010181000000003</v>
      </c>
      <c r="I818" s="14"/>
    </row>
    <row r="819" spans="1:9" ht="15.75" customHeight="1" x14ac:dyDescent="0.25">
      <c r="A819" s="16" t="s">
        <v>39</v>
      </c>
      <c r="B819" s="21">
        <v>44417</v>
      </c>
      <c r="C819" s="16" t="s">
        <v>4</v>
      </c>
      <c r="D819" s="17">
        <v>17.89</v>
      </c>
      <c r="E819" s="18">
        <v>1.1183000000000001</v>
      </c>
      <c r="F819" s="18">
        <v>1.789E-2</v>
      </c>
      <c r="G819" s="16" t="s">
        <v>80</v>
      </c>
      <c r="H819" s="20">
        <f>InputData[[#This Row],[Transacted Units]]*InputData[[#This Row],[Transacted Price (per unit)]]</f>
        <v>20.006387000000004</v>
      </c>
      <c r="I819" s="14"/>
    </row>
    <row r="820" spans="1:9" ht="15.75" customHeight="1" x14ac:dyDescent="0.25">
      <c r="A820" s="16" t="s">
        <v>39</v>
      </c>
      <c r="B820" s="21">
        <v>44417</v>
      </c>
      <c r="C820" s="16" t="s">
        <v>4</v>
      </c>
      <c r="D820" s="17">
        <v>9.02</v>
      </c>
      <c r="E820" s="18">
        <v>1.1206</v>
      </c>
      <c r="F820" s="18">
        <v>9.0200000000000002E-3</v>
      </c>
      <c r="G820" s="16" t="s">
        <v>80</v>
      </c>
      <c r="H820" s="20">
        <f>InputData[[#This Row],[Transacted Units]]*InputData[[#This Row],[Transacted Price (per unit)]]</f>
        <v>10.107811999999999</v>
      </c>
      <c r="I820" s="14"/>
    </row>
    <row r="821" spans="1:9" ht="15.75" customHeight="1" x14ac:dyDescent="0.25">
      <c r="A821" s="16" t="s">
        <v>39</v>
      </c>
      <c r="B821" s="21">
        <v>44417</v>
      </c>
      <c r="C821" s="16" t="s">
        <v>4</v>
      </c>
      <c r="D821" s="17">
        <v>40.840000000000003</v>
      </c>
      <c r="E821" s="18">
        <v>1.1019000000000001</v>
      </c>
      <c r="F821" s="18">
        <v>4.0840000000000001E-2</v>
      </c>
      <c r="G821" s="16" t="s">
        <v>80</v>
      </c>
      <c r="H821" s="20">
        <f>InputData[[#This Row],[Transacted Units]]*InputData[[#This Row],[Transacted Price (per unit)]]</f>
        <v>45.001596000000006</v>
      </c>
      <c r="I821" s="14"/>
    </row>
    <row r="822" spans="1:9" ht="15.75" customHeight="1" x14ac:dyDescent="0.25">
      <c r="A822" s="16" t="s">
        <v>39</v>
      </c>
      <c r="B822" s="21">
        <v>44417</v>
      </c>
      <c r="C822" s="16" t="s">
        <v>4</v>
      </c>
      <c r="D822" s="17">
        <v>26.93</v>
      </c>
      <c r="E822" s="18">
        <v>1.1141000000000001</v>
      </c>
      <c r="F822" s="18">
        <v>2.6929999999999999E-2</v>
      </c>
      <c r="G822" s="16" t="s">
        <v>80</v>
      </c>
      <c r="H822" s="20">
        <f>InputData[[#This Row],[Transacted Units]]*InputData[[#This Row],[Transacted Price (per unit)]]</f>
        <v>30.002713000000004</v>
      </c>
      <c r="I822" s="14"/>
    </row>
    <row r="823" spans="1:9" ht="15.75" customHeight="1" x14ac:dyDescent="0.25">
      <c r="A823" s="16" t="s">
        <v>39</v>
      </c>
      <c r="B823" s="21">
        <v>44417</v>
      </c>
      <c r="C823" s="16" t="s">
        <v>4</v>
      </c>
      <c r="D823" s="17">
        <v>17.850000000000001</v>
      </c>
      <c r="E823" s="18">
        <v>1.1205000000000001</v>
      </c>
      <c r="F823" s="18">
        <v>1.7850000000000001E-2</v>
      </c>
      <c r="G823" s="16" t="s">
        <v>80</v>
      </c>
      <c r="H823" s="20">
        <f>InputData[[#This Row],[Transacted Units]]*InputData[[#This Row],[Transacted Price (per unit)]]</f>
        <v>20.000925000000002</v>
      </c>
      <c r="I823" s="14"/>
    </row>
    <row r="824" spans="1:9" ht="15.75" customHeight="1" x14ac:dyDescent="0.25">
      <c r="A824" s="16" t="s">
        <v>39</v>
      </c>
      <c r="B824" s="21">
        <v>44417</v>
      </c>
      <c r="C824" s="16" t="s">
        <v>4</v>
      </c>
      <c r="D824" s="17">
        <v>9</v>
      </c>
      <c r="E824" s="18">
        <v>1.1228</v>
      </c>
      <c r="F824" s="18">
        <v>8.9999999999999993E-3</v>
      </c>
      <c r="G824" s="16" t="s">
        <v>80</v>
      </c>
      <c r="H824" s="20">
        <f>InputData[[#This Row],[Transacted Units]]*InputData[[#This Row],[Transacted Price (per unit)]]</f>
        <v>10.1052</v>
      </c>
      <c r="I824" s="14"/>
    </row>
    <row r="825" spans="1:9" ht="15.75" customHeight="1" x14ac:dyDescent="0.25">
      <c r="A825" s="16" t="s">
        <v>39</v>
      </c>
      <c r="B825" s="21">
        <v>44417</v>
      </c>
      <c r="C825" s="16" t="s">
        <v>4</v>
      </c>
      <c r="D825" s="17">
        <v>27.03</v>
      </c>
      <c r="E825" s="18">
        <v>1.1101000000000001</v>
      </c>
      <c r="F825" s="18">
        <v>2.7029999999999998E-2</v>
      </c>
      <c r="G825" s="16" t="s">
        <v>80</v>
      </c>
      <c r="H825" s="20">
        <f>InputData[[#This Row],[Transacted Units]]*InputData[[#This Row],[Transacted Price (per unit)]]</f>
        <v>30.006003000000003</v>
      </c>
      <c r="I825" s="14"/>
    </row>
    <row r="826" spans="1:9" ht="15.75" customHeight="1" x14ac:dyDescent="0.25">
      <c r="A826" s="16" t="s">
        <v>39</v>
      </c>
      <c r="B826" s="21">
        <v>44417</v>
      </c>
      <c r="C826" s="16" t="s">
        <v>4</v>
      </c>
      <c r="D826" s="17">
        <v>17.920000000000002</v>
      </c>
      <c r="E826" s="18">
        <v>1.1165</v>
      </c>
      <c r="F826" s="18">
        <v>1.7919999999999998E-2</v>
      </c>
      <c r="G826" s="16" t="s">
        <v>80</v>
      </c>
      <c r="H826" s="20">
        <f>InputData[[#This Row],[Transacted Units]]*InputData[[#This Row],[Transacted Price (per unit)]]</f>
        <v>20.007680000000004</v>
      </c>
      <c r="I826" s="14"/>
    </row>
    <row r="827" spans="1:9" ht="15.75" customHeight="1" x14ac:dyDescent="0.25">
      <c r="A827" s="16" t="s">
        <v>39</v>
      </c>
      <c r="B827" s="21">
        <v>44417</v>
      </c>
      <c r="C827" s="16" t="s">
        <v>4</v>
      </c>
      <c r="D827" s="17">
        <v>9.0299999999999994</v>
      </c>
      <c r="E827" s="18">
        <v>1.1188</v>
      </c>
      <c r="F827" s="18">
        <v>9.0299999999999998E-3</v>
      </c>
      <c r="G827" s="16" t="s">
        <v>80</v>
      </c>
      <c r="H827" s="20">
        <f>InputData[[#This Row],[Transacted Units]]*InputData[[#This Row],[Transacted Price (per unit)]]</f>
        <v>10.102763999999999</v>
      </c>
      <c r="I827" s="14"/>
    </row>
    <row r="828" spans="1:9" ht="15.75" customHeight="1" x14ac:dyDescent="0.25">
      <c r="A828" s="16" t="s">
        <v>39</v>
      </c>
      <c r="B828" s="21">
        <v>44417</v>
      </c>
      <c r="C828" s="16" t="s">
        <v>4</v>
      </c>
      <c r="D828" s="17">
        <v>18.11</v>
      </c>
      <c r="E828" s="18">
        <v>1.1047</v>
      </c>
      <c r="F828" s="18">
        <v>1.8110000000000001E-2</v>
      </c>
      <c r="G828" s="16" t="s">
        <v>80</v>
      </c>
      <c r="H828" s="20">
        <f>InputData[[#This Row],[Transacted Units]]*InputData[[#This Row],[Transacted Price (per unit)]]</f>
        <v>20.006117</v>
      </c>
      <c r="I828" s="14"/>
    </row>
    <row r="829" spans="1:9" ht="15.75" customHeight="1" x14ac:dyDescent="0.25">
      <c r="A829" s="16" t="s">
        <v>39</v>
      </c>
      <c r="B829" s="21">
        <v>44417</v>
      </c>
      <c r="C829" s="16" t="s">
        <v>4</v>
      </c>
      <c r="D829" s="17">
        <v>9.1300000000000008</v>
      </c>
      <c r="E829" s="18">
        <v>1.107</v>
      </c>
      <c r="F829" s="18">
        <v>9.1299999999999992E-3</v>
      </c>
      <c r="G829" s="16" t="s">
        <v>80</v>
      </c>
      <c r="H829" s="20">
        <f>InputData[[#This Row],[Transacted Units]]*InputData[[#This Row],[Transacted Price (per unit)]]</f>
        <v>10.106910000000001</v>
      </c>
      <c r="I829" s="14"/>
    </row>
    <row r="830" spans="1:9" ht="15.75" customHeight="1" x14ac:dyDescent="0.25">
      <c r="A830" s="16" t="s">
        <v>39</v>
      </c>
      <c r="B830" s="21">
        <v>44417</v>
      </c>
      <c r="C830" s="16" t="s">
        <v>4</v>
      </c>
      <c r="D830" s="17">
        <v>18.260000000000002</v>
      </c>
      <c r="E830" s="18">
        <v>1.0955999999999999</v>
      </c>
      <c r="F830" s="18">
        <v>1.8259999999999998E-2</v>
      </c>
      <c r="G830" s="16" t="s">
        <v>80</v>
      </c>
      <c r="H830" s="20">
        <f>InputData[[#This Row],[Transacted Units]]*InputData[[#This Row],[Transacted Price (per unit)]]</f>
        <v>20.005655999999998</v>
      </c>
      <c r="I830" s="14"/>
    </row>
    <row r="831" spans="1:9" ht="15.75" customHeight="1" x14ac:dyDescent="0.25">
      <c r="A831" s="16" t="s">
        <v>39</v>
      </c>
      <c r="B831" s="21">
        <v>44417</v>
      </c>
      <c r="C831" s="16" t="s">
        <v>4</v>
      </c>
      <c r="D831" s="17">
        <v>9.1999999999999993</v>
      </c>
      <c r="E831" s="18">
        <v>1.0978000000000001</v>
      </c>
      <c r="F831" s="18">
        <v>9.1999999999999998E-3</v>
      </c>
      <c r="G831" s="16" t="s">
        <v>80</v>
      </c>
      <c r="H831" s="20">
        <f>InputData[[#This Row],[Transacted Units]]*InputData[[#This Row],[Transacted Price (per unit)]]</f>
        <v>10.09976</v>
      </c>
      <c r="I831" s="14"/>
    </row>
    <row r="832" spans="1:9" ht="15.75" customHeight="1" x14ac:dyDescent="0.25">
      <c r="A832" s="16" t="s">
        <v>39</v>
      </c>
      <c r="B832" s="21">
        <v>44417</v>
      </c>
      <c r="C832" s="16" t="s">
        <v>4</v>
      </c>
      <c r="D832" s="17">
        <v>18.43</v>
      </c>
      <c r="E832" s="18">
        <v>1.0853999999999999</v>
      </c>
      <c r="F832" s="18">
        <v>1.8429999999999998E-2</v>
      </c>
      <c r="G832" s="16" t="s">
        <v>80</v>
      </c>
      <c r="H832" s="20">
        <f>InputData[[#This Row],[Transacted Units]]*InputData[[#This Row],[Transacted Price (per unit)]]</f>
        <v>20.003921999999999</v>
      </c>
      <c r="I832" s="14"/>
    </row>
    <row r="833" spans="1:9" ht="15.75" customHeight="1" x14ac:dyDescent="0.25">
      <c r="A833" s="16" t="s">
        <v>39</v>
      </c>
      <c r="B833" s="21">
        <v>44417</v>
      </c>
      <c r="C833" s="16" t="s">
        <v>4</v>
      </c>
      <c r="D833" s="17">
        <v>9.2899999999999991</v>
      </c>
      <c r="E833" s="18">
        <v>1.0875999999999999</v>
      </c>
      <c r="F833" s="18">
        <v>9.2899999999999996E-3</v>
      </c>
      <c r="G833" s="16" t="s">
        <v>80</v>
      </c>
      <c r="H833" s="20">
        <f>InputData[[#This Row],[Transacted Units]]*InputData[[#This Row],[Transacted Price (per unit)]]</f>
        <v>10.103803999999998</v>
      </c>
      <c r="I833" s="14"/>
    </row>
    <row r="834" spans="1:9" ht="15.75" customHeight="1" x14ac:dyDescent="0.25">
      <c r="A834" s="16" t="s">
        <v>39</v>
      </c>
      <c r="B834" s="21">
        <v>44417</v>
      </c>
      <c r="C834" s="16" t="s">
        <v>4</v>
      </c>
      <c r="D834" s="17">
        <v>42.06</v>
      </c>
      <c r="E834" s="18">
        <v>1.0701000000000001</v>
      </c>
      <c r="F834" s="18">
        <v>4.206E-2</v>
      </c>
      <c r="G834" s="16" t="s">
        <v>80</v>
      </c>
      <c r="H834" s="20">
        <f>InputData[[#This Row],[Transacted Units]]*InputData[[#This Row],[Transacted Price (per unit)]]</f>
        <v>45.008406000000008</v>
      </c>
      <c r="I834" s="14"/>
    </row>
    <row r="835" spans="1:9" ht="15.75" customHeight="1" x14ac:dyDescent="0.25">
      <c r="A835" s="16" t="s">
        <v>39</v>
      </c>
      <c r="B835" s="21">
        <v>44417</v>
      </c>
      <c r="C835" s="16" t="s">
        <v>4</v>
      </c>
      <c r="D835" s="17">
        <v>27.73</v>
      </c>
      <c r="E835" s="18">
        <v>1.0790999999999999</v>
      </c>
      <c r="F835" s="18">
        <v>2.7730000000000001E-2</v>
      </c>
      <c r="G835" s="16" t="s">
        <v>80</v>
      </c>
      <c r="H835" s="20">
        <f>InputData[[#This Row],[Transacted Units]]*InputData[[#This Row],[Transacted Price (per unit)]]</f>
        <v>29.923442999999999</v>
      </c>
      <c r="I835" s="14"/>
    </row>
    <row r="836" spans="1:9" ht="15.75" customHeight="1" x14ac:dyDescent="0.25">
      <c r="A836" s="16" t="s">
        <v>39</v>
      </c>
      <c r="B836" s="21">
        <v>44417</v>
      </c>
      <c r="C836" s="16" t="s">
        <v>4</v>
      </c>
      <c r="D836" s="17">
        <v>18.38</v>
      </c>
      <c r="E836" s="18">
        <v>1.0882000000000001</v>
      </c>
      <c r="F836" s="18">
        <v>1.8380000000000001E-2</v>
      </c>
      <c r="G836" s="16" t="s">
        <v>80</v>
      </c>
      <c r="H836" s="20">
        <f>InputData[[#This Row],[Transacted Units]]*InputData[[#This Row],[Transacted Price (per unit)]]</f>
        <v>20.001116</v>
      </c>
      <c r="I836" s="14"/>
    </row>
    <row r="837" spans="1:9" ht="15.75" customHeight="1" x14ac:dyDescent="0.25">
      <c r="A837" s="16" t="s">
        <v>39</v>
      </c>
      <c r="B837" s="21">
        <v>44417</v>
      </c>
      <c r="C837" s="16" t="s">
        <v>4</v>
      </c>
      <c r="D837" s="17">
        <v>9.26</v>
      </c>
      <c r="E837" s="18">
        <v>1.0904</v>
      </c>
      <c r="F837" s="18">
        <v>9.2599999999999991E-3</v>
      </c>
      <c r="G837" s="16" t="s">
        <v>80</v>
      </c>
      <c r="H837" s="20">
        <f>InputData[[#This Row],[Transacted Units]]*InputData[[#This Row],[Transacted Price (per unit)]]</f>
        <v>10.097104</v>
      </c>
      <c r="I837" s="14"/>
    </row>
    <row r="838" spans="1:9" ht="15.75" customHeight="1" x14ac:dyDescent="0.25">
      <c r="A838" s="16" t="s">
        <v>39</v>
      </c>
      <c r="B838" s="21">
        <v>44417</v>
      </c>
      <c r="C838" s="16" t="s">
        <v>4</v>
      </c>
      <c r="D838" s="17">
        <v>64.239999999999995</v>
      </c>
      <c r="E838" s="18">
        <v>1.0508999999999999</v>
      </c>
      <c r="F838" s="18">
        <v>6.4240000000000005E-2</v>
      </c>
      <c r="G838" s="16" t="s">
        <v>80</v>
      </c>
      <c r="H838" s="20">
        <f>InputData[[#This Row],[Transacted Units]]*InputData[[#This Row],[Transacted Price (per unit)]]</f>
        <v>67.509815999999987</v>
      </c>
      <c r="I838" s="14"/>
    </row>
    <row r="839" spans="1:9" ht="15.75" customHeight="1" x14ac:dyDescent="0.25">
      <c r="A839" s="16" t="s">
        <v>39</v>
      </c>
      <c r="B839" s="21">
        <v>44416</v>
      </c>
      <c r="C839" s="16" t="s">
        <v>4</v>
      </c>
      <c r="D839" s="17">
        <v>41.92</v>
      </c>
      <c r="E839" s="18">
        <v>1.0734999999999999</v>
      </c>
      <c r="F839" s="18">
        <v>4.1919999999999999E-2</v>
      </c>
      <c r="G839" s="16" t="s">
        <v>80</v>
      </c>
      <c r="H839" s="20">
        <f>InputData[[#This Row],[Transacted Units]]*InputData[[#This Row],[Transacted Price (per unit)]]</f>
        <v>45.00112</v>
      </c>
      <c r="I839" s="14"/>
    </row>
    <row r="840" spans="1:9" ht="15.75" customHeight="1" x14ac:dyDescent="0.25">
      <c r="A840" s="16" t="s">
        <v>39</v>
      </c>
      <c r="B840" s="21">
        <v>44416</v>
      </c>
      <c r="C840" s="16" t="s">
        <v>4</v>
      </c>
      <c r="D840" s="17">
        <v>27.65</v>
      </c>
      <c r="E840" s="18">
        <v>1.0852999999999999</v>
      </c>
      <c r="F840" s="18">
        <v>2.7650000000000001E-2</v>
      </c>
      <c r="G840" s="16" t="s">
        <v>80</v>
      </c>
      <c r="H840" s="20">
        <f>InputData[[#This Row],[Transacted Units]]*InputData[[#This Row],[Transacted Price (per unit)]]</f>
        <v>30.008544999999998</v>
      </c>
      <c r="I840" s="14"/>
    </row>
    <row r="841" spans="1:9" ht="15.75" customHeight="1" x14ac:dyDescent="0.25">
      <c r="A841" s="16" t="s">
        <v>39</v>
      </c>
      <c r="B841" s="21">
        <v>44416</v>
      </c>
      <c r="C841" s="16" t="s">
        <v>4</v>
      </c>
      <c r="D841" s="17">
        <v>18.329999999999998</v>
      </c>
      <c r="E841" s="18">
        <v>1.0915999999999999</v>
      </c>
      <c r="F841" s="18">
        <v>1.8329999999999999E-2</v>
      </c>
      <c r="G841" s="16" t="s">
        <v>80</v>
      </c>
      <c r="H841" s="20">
        <f>InputData[[#This Row],[Transacted Units]]*InputData[[#This Row],[Transacted Price (per unit)]]</f>
        <v>20.009027999999997</v>
      </c>
      <c r="I841" s="14"/>
    </row>
    <row r="842" spans="1:9" ht="15.75" customHeight="1" x14ac:dyDescent="0.25">
      <c r="A842" s="16" t="s">
        <v>39</v>
      </c>
      <c r="B842" s="21">
        <v>44416</v>
      </c>
      <c r="C842" s="16" t="s">
        <v>4</v>
      </c>
      <c r="D842" s="17">
        <v>9.24</v>
      </c>
      <c r="E842" s="18">
        <v>1.0938000000000001</v>
      </c>
      <c r="F842" s="18">
        <v>9.2399999999999999E-3</v>
      </c>
      <c r="G842" s="16" t="s">
        <v>80</v>
      </c>
      <c r="H842" s="20">
        <f>InputData[[#This Row],[Transacted Units]]*InputData[[#This Row],[Transacted Price (per unit)]]</f>
        <v>10.106712000000002</v>
      </c>
      <c r="I842" s="14"/>
    </row>
    <row r="843" spans="1:9" ht="15.75" customHeight="1" x14ac:dyDescent="0.25">
      <c r="A843" s="16" t="s">
        <v>39</v>
      </c>
      <c r="B843" s="21">
        <v>44415</v>
      </c>
      <c r="C843" s="16" t="s">
        <v>4</v>
      </c>
      <c r="D843" s="17">
        <v>18.91</v>
      </c>
      <c r="E843" s="18">
        <v>1.0578000000000001</v>
      </c>
      <c r="F843" s="18">
        <v>1.891E-2</v>
      </c>
      <c r="G843" s="16" t="s">
        <v>80</v>
      </c>
      <c r="H843" s="20">
        <f>InputData[[#This Row],[Transacted Units]]*InputData[[#This Row],[Transacted Price (per unit)]]</f>
        <v>20.002998000000002</v>
      </c>
      <c r="I843" s="14"/>
    </row>
    <row r="844" spans="1:9" ht="15.75" customHeight="1" x14ac:dyDescent="0.25">
      <c r="A844" s="16" t="s">
        <v>39</v>
      </c>
      <c r="B844" s="21">
        <v>44415</v>
      </c>
      <c r="C844" s="16" t="s">
        <v>4</v>
      </c>
      <c r="D844" s="17">
        <v>42.35</v>
      </c>
      <c r="E844" s="18">
        <v>1.0627</v>
      </c>
      <c r="F844" s="18">
        <v>4.2349999999999999E-2</v>
      </c>
      <c r="G844" s="16" t="s">
        <v>80</v>
      </c>
      <c r="H844" s="20">
        <f>InputData[[#This Row],[Transacted Units]]*InputData[[#This Row],[Transacted Price (per unit)]]</f>
        <v>45.005344999999998</v>
      </c>
      <c r="I844" s="14"/>
    </row>
    <row r="845" spans="1:9" ht="15.75" customHeight="1" x14ac:dyDescent="0.25">
      <c r="A845" s="16" t="s">
        <v>39</v>
      </c>
      <c r="B845" s="21">
        <v>44415</v>
      </c>
      <c r="C845" s="16" t="s">
        <v>4</v>
      </c>
      <c r="D845" s="17">
        <v>27.93</v>
      </c>
      <c r="E845" s="18">
        <v>1.0744</v>
      </c>
      <c r="F845" s="18">
        <v>2.793E-2</v>
      </c>
      <c r="G845" s="16" t="s">
        <v>80</v>
      </c>
      <c r="H845" s="20">
        <f>InputData[[#This Row],[Transacted Units]]*InputData[[#This Row],[Transacted Price (per unit)]]</f>
        <v>30.007992000000002</v>
      </c>
      <c r="I845" s="14"/>
    </row>
    <row r="846" spans="1:9" ht="15.75" customHeight="1" x14ac:dyDescent="0.25">
      <c r="A846" s="16" t="s">
        <v>39</v>
      </c>
      <c r="B846" s="21">
        <v>44415</v>
      </c>
      <c r="C846" s="16" t="s">
        <v>4</v>
      </c>
      <c r="D846" s="17">
        <v>18.510000000000002</v>
      </c>
      <c r="E846" s="18">
        <v>1.0806</v>
      </c>
      <c r="F846" s="18">
        <v>1.8509999999999999E-2</v>
      </c>
      <c r="G846" s="16" t="s">
        <v>80</v>
      </c>
      <c r="H846" s="20">
        <f>InputData[[#This Row],[Transacted Units]]*InputData[[#This Row],[Transacted Price (per unit)]]</f>
        <v>20.001906000000002</v>
      </c>
      <c r="I846" s="14"/>
    </row>
    <row r="847" spans="1:9" ht="15.75" customHeight="1" x14ac:dyDescent="0.25">
      <c r="A847" s="16" t="s">
        <v>39</v>
      </c>
      <c r="B847" s="21">
        <v>44415</v>
      </c>
      <c r="C847" s="16" t="s">
        <v>4</v>
      </c>
      <c r="D847" s="17">
        <v>8.48</v>
      </c>
      <c r="E847" s="18">
        <v>1.083</v>
      </c>
      <c r="F847" s="18">
        <v>8.4799999999999997E-3</v>
      </c>
      <c r="G847" s="16" t="s">
        <v>80</v>
      </c>
      <c r="H847" s="20">
        <f>InputData[[#This Row],[Transacted Units]]*InputData[[#This Row],[Transacted Price (per unit)]]</f>
        <v>9.18384</v>
      </c>
      <c r="I847" s="14"/>
    </row>
    <row r="848" spans="1:9" ht="15.75" customHeight="1" x14ac:dyDescent="0.25">
      <c r="A848" s="16" t="s">
        <v>39</v>
      </c>
      <c r="B848" s="21">
        <v>44415</v>
      </c>
      <c r="C848" s="16" t="s">
        <v>4</v>
      </c>
      <c r="D848" s="17">
        <v>10</v>
      </c>
      <c r="E848" s="18">
        <v>1.0827</v>
      </c>
      <c r="F848" s="18">
        <v>0.01</v>
      </c>
      <c r="G848" s="16" t="s">
        <v>80</v>
      </c>
      <c r="H848" s="20">
        <f>InputData[[#This Row],[Transacted Units]]*InputData[[#This Row],[Transacted Price (per unit)]]</f>
        <v>10.827</v>
      </c>
      <c r="I848" s="14"/>
    </row>
    <row r="849" spans="1:9" ht="15.75" customHeight="1" x14ac:dyDescent="0.25">
      <c r="A849" s="16" t="s">
        <v>39</v>
      </c>
      <c r="B849" s="21">
        <v>44415</v>
      </c>
      <c r="C849" s="16" t="s">
        <v>4</v>
      </c>
      <c r="D849" s="17">
        <v>42.4</v>
      </c>
      <c r="E849" s="18">
        <v>1.0615000000000001</v>
      </c>
      <c r="F849" s="18">
        <v>4.24E-2</v>
      </c>
      <c r="G849" s="16" t="s">
        <v>80</v>
      </c>
      <c r="H849" s="20">
        <f>InputData[[#This Row],[Transacted Units]]*InputData[[#This Row],[Transacted Price (per unit)]]</f>
        <v>45.007600000000004</v>
      </c>
      <c r="I849" s="14"/>
    </row>
    <row r="850" spans="1:9" ht="15.75" customHeight="1" x14ac:dyDescent="0.25">
      <c r="A850" s="16" t="s">
        <v>39</v>
      </c>
      <c r="B850" s="21">
        <v>44415</v>
      </c>
      <c r="C850" s="16" t="s">
        <v>4</v>
      </c>
      <c r="D850" s="17">
        <v>27.96</v>
      </c>
      <c r="E850" s="18">
        <v>1.0731999999999999</v>
      </c>
      <c r="F850" s="18">
        <v>2.7959999999999999E-2</v>
      </c>
      <c r="G850" s="16" t="s">
        <v>80</v>
      </c>
      <c r="H850" s="20">
        <f>InputData[[#This Row],[Transacted Units]]*InputData[[#This Row],[Transacted Price (per unit)]]</f>
        <v>30.006671999999998</v>
      </c>
      <c r="I850" s="14"/>
    </row>
    <row r="851" spans="1:9" ht="15.75" customHeight="1" x14ac:dyDescent="0.25">
      <c r="A851" s="16" t="s">
        <v>39</v>
      </c>
      <c r="B851" s="21">
        <v>44415</v>
      </c>
      <c r="C851" s="16" t="s">
        <v>4</v>
      </c>
      <c r="D851" s="17">
        <v>18.53</v>
      </c>
      <c r="E851" s="18">
        <v>1.0793999999999999</v>
      </c>
      <c r="F851" s="18">
        <v>1.8530000000000001E-2</v>
      </c>
      <c r="G851" s="16" t="s">
        <v>80</v>
      </c>
      <c r="H851" s="20">
        <f>InputData[[#This Row],[Transacted Units]]*InputData[[#This Row],[Transacted Price (per unit)]]</f>
        <v>20.001282</v>
      </c>
      <c r="I851" s="14"/>
    </row>
    <row r="852" spans="1:9" ht="15.75" customHeight="1" x14ac:dyDescent="0.25">
      <c r="A852" s="16" t="s">
        <v>39</v>
      </c>
      <c r="B852" s="21">
        <v>44415</v>
      </c>
      <c r="C852" s="16" t="s">
        <v>4</v>
      </c>
      <c r="D852" s="17">
        <v>18.52</v>
      </c>
      <c r="E852" s="18">
        <v>1.0815999999999999</v>
      </c>
      <c r="F852" s="18">
        <v>1.8519999999999998E-2</v>
      </c>
      <c r="G852" s="16" t="s">
        <v>80</v>
      </c>
      <c r="H852" s="20">
        <f>InputData[[#This Row],[Transacted Units]]*InputData[[#This Row],[Transacted Price (per unit)]]</f>
        <v>20.031231999999999</v>
      </c>
      <c r="I852" s="14"/>
    </row>
    <row r="853" spans="1:9" ht="15.75" customHeight="1" x14ac:dyDescent="0.25">
      <c r="A853" s="16" t="s">
        <v>39</v>
      </c>
      <c r="B853" s="21">
        <v>44415</v>
      </c>
      <c r="C853" s="16" t="s">
        <v>4</v>
      </c>
      <c r="D853" s="17">
        <v>18.87</v>
      </c>
      <c r="E853" s="18">
        <v>1.0601</v>
      </c>
      <c r="F853" s="18">
        <v>1.8870000000000001E-2</v>
      </c>
      <c r="G853" s="16" t="s">
        <v>80</v>
      </c>
      <c r="H853" s="20">
        <f>InputData[[#This Row],[Transacted Units]]*InputData[[#This Row],[Transacted Price (per unit)]]</f>
        <v>20.004087000000002</v>
      </c>
      <c r="I853" s="14"/>
    </row>
    <row r="854" spans="1:9" ht="15.75" customHeight="1" x14ac:dyDescent="0.25">
      <c r="A854" s="16" t="s">
        <v>39</v>
      </c>
      <c r="B854" s="21">
        <v>44415</v>
      </c>
      <c r="C854" s="16" t="s">
        <v>4</v>
      </c>
      <c r="D854" s="17">
        <v>18.850000000000001</v>
      </c>
      <c r="E854" s="18">
        <v>1.0623</v>
      </c>
      <c r="F854" s="18">
        <v>1.8849999999999999E-2</v>
      </c>
      <c r="G854" s="16" t="s">
        <v>80</v>
      </c>
      <c r="H854" s="20">
        <f>InputData[[#This Row],[Transacted Units]]*InputData[[#This Row],[Transacted Price (per unit)]]</f>
        <v>20.024355000000003</v>
      </c>
      <c r="I854" s="14"/>
    </row>
    <row r="855" spans="1:9" ht="15.75" customHeight="1" x14ac:dyDescent="0.25">
      <c r="A855" s="16" t="s">
        <v>39</v>
      </c>
      <c r="B855" s="21">
        <v>44415</v>
      </c>
      <c r="C855" s="16" t="s">
        <v>4</v>
      </c>
      <c r="D855" s="17">
        <v>19.11</v>
      </c>
      <c r="E855" s="18">
        <v>1.0468999999999999</v>
      </c>
      <c r="F855" s="18">
        <v>1.9109999999999999E-2</v>
      </c>
      <c r="G855" s="16" t="s">
        <v>80</v>
      </c>
      <c r="H855" s="20">
        <f>InputData[[#This Row],[Transacted Units]]*InputData[[#This Row],[Transacted Price (per unit)]]</f>
        <v>20.006259</v>
      </c>
      <c r="I855" s="14"/>
    </row>
    <row r="856" spans="1:9" ht="15.75" customHeight="1" x14ac:dyDescent="0.25">
      <c r="A856" s="16" t="s">
        <v>39</v>
      </c>
      <c r="B856" s="21">
        <v>44415</v>
      </c>
      <c r="C856" s="16" t="s">
        <v>4</v>
      </c>
      <c r="D856" s="17">
        <v>29</v>
      </c>
      <c r="E856" s="18">
        <v>1.0346</v>
      </c>
      <c r="F856" s="18">
        <v>2.9000000000000001E-2</v>
      </c>
      <c r="G856" s="16" t="s">
        <v>80</v>
      </c>
      <c r="H856" s="20">
        <f>InputData[[#This Row],[Transacted Units]]*InputData[[#This Row],[Transacted Price (per unit)]]</f>
        <v>30.003399999999999</v>
      </c>
      <c r="I856" s="14"/>
    </row>
    <row r="857" spans="1:9" ht="15.75" customHeight="1" x14ac:dyDescent="0.25">
      <c r="A857" s="16" t="s">
        <v>39</v>
      </c>
      <c r="B857" s="21">
        <v>44415</v>
      </c>
      <c r="C857" s="16" t="s">
        <v>4</v>
      </c>
      <c r="D857" s="17">
        <v>7.73</v>
      </c>
      <c r="E857" s="18">
        <v>1.0405</v>
      </c>
      <c r="F857" s="18">
        <v>7.7299999999999999E-3</v>
      </c>
      <c r="G857" s="16" t="s">
        <v>80</v>
      </c>
      <c r="H857" s="20">
        <f>InputData[[#This Row],[Transacted Units]]*InputData[[#This Row],[Transacted Price (per unit)]]</f>
        <v>8.0430650000000004</v>
      </c>
      <c r="I857" s="14"/>
    </row>
    <row r="858" spans="1:9" ht="15.75" customHeight="1" x14ac:dyDescent="0.25">
      <c r="A858" s="16" t="s">
        <v>39</v>
      </c>
      <c r="B858" s="21">
        <v>44415</v>
      </c>
      <c r="C858" s="16" t="s">
        <v>4</v>
      </c>
      <c r="D858" s="17">
        <v>11.5</v>
      </c>
      <c r="E858" s="18">
        <v>1.0405</v>
      </c>
      <c r="F858" s="18">
        <v>1.15E-2</v>
      </c>
      <c r="G858" s="16" t="s">
        <v>80</v>
      </c>
      <c r="H858" s="20">
        <f>InputData[[#This Row],[Transacted Units]]*InputData[[#This Row],[Transacted Price (per unit)]]</f>
        <v>11.96575</v>
      </c>
      <c r="I858" s="14"/>
    </row>
    <row r="859" spans="1:9" ht="15.75" customHeight="1" x14ac:dyDescent="0.25">
      <c r="A859" s="16" t="s">
        <v>39</v>
      </c>
      <c r="B859" s="21">
        <v>44415</v>
      </c>
      <c r="C859" s="16" t="s">
        <v>4</v>
      </c>
      <c r="D859" s="17">
        <v>0.11</v>
      </c>
      <c r="E859" s="18">
        <v>1.0418000000000001</v>
      </c>
      <c r="F859" s="18">
        <v>1.6999999999999999E-7</v>
      </c>
      <c r="G859" s="16" t="s">
        <v>80</v>
      </c>
      <c r="H859" s="20">
        <f>InputData[[#This Row],[Transacted Units]]*InputData[[#This Row],[Transacted Price (per unit)]]</f>
        <v>0.11459800000000001</v>
      </c>
      <c r="I859" s="14"/>
    </row>
    <row r="860" spans="1:9" ht="15.75" customHeight="1" x14ac:dyDescent="0.25">
      <c r="A860" s="16" t="s">
        <v>39</v>
      </c>
      <c r="B860" s="21">
        <v>44415</v>
      </c>
      <c r="C860" s="16" t="s">
        <v>4</v>
      </c>
      <c r="D860" s="17">
        <v>19.09</v>
      </c>
      <c r="E860" s="18">
        <v>1.0419</v>
      </c>
      <c r="F860" s="18">
        <v>1.9089999999999999E-2</v>
      </c>
      <c r="G860" s="16" t="s">
        <v>80</v>
      </c>
      <c r="H860" s="20">
        <f>InputData[[#This Row],[Transacted Units]]*InputData[[#This Row],[Transacted Price (per unit)]]</f>
        <v>19.889870999999999</v>
      </c>
      <c r="I860" s="14"/>
    </row>
    <row r="861" spans="1:9" ht="15.75" customHeight="1" x14ac:dyDescent="0.25">
      <c r="A861" s="16" t="s">
        <v>39</v>
      </c>
      <c r="B861" s="21">
        <v>44415</v>
      </c>
      <c r="C861" s="16" t="s">
        <v>4</v>
      </c>
      <c r="D861" s="17">
        <v>19.5</v>
      </c>
      <c r="E861" s="18">
        <v>1.0261</v>
      </c>
      <c r="F861" s="18">
        <v>1.95E-2</v>
      </c>
      <c r="G861" s="16" t="s">
        <v>80</v>
      </c>
      <c r="H861" s="20">
        <f>InputData[[#This Row],[Transacted Units]]*InputData[[#This Row],[Transacted Price (per unit)]]</f>
        <v>20.008949999999999</v>
      </c>
      <c r="I861" s="14"/>
    </row>
    <row r="862" spans="1:9" ht="15.75" customHeight="1" x14ac:dyDescent="0.25">
      <c r="A862" s="16" t="s">
        <v>39</v>
      </c>
      <c r="B862" s="21">
        <v>44415</v>
      </c>
      <c r="C862" s="16" t="s">
        <v>4</v>
      </c>
      <c r="D862" s="17">
        <v>19.46</v>
      </c>
      <c r="E862" s="18">
        <v>1.0282</v>
      </c>
      <c r="F862" s="18">
        <v>1.9460000000000002E-2</v>
      </c>
      <c r="G862" s="16" t="s">
        <v>80</v>
      </c>
      <c r="H862" s="20">
        <f>InputData[[#This Row],[Transacted Units]]*InputData[[#This Row],[Transacted Price (per unit)]]</f>
        <v>20.008772</v>
      </c>
      <c r="I862" s="14"/>
    </row>
    <row r="863" spans="1:9" ht="15.75" customHeight="1" x14ac:dyDescent="0.25">
      <c r="A863" s="16" t="s">
        <v>39</v>
      </c>
      <c r="B863" s="21">
        <v>44414</v>
      </c>
      <c r="C863" s="16" t="s">
        <v>4</v>
      </c>
      <c r="D863" s="17">
        <v>29.56</v>
      </c>
      <c r="E863" s="18">
        <v>1.0150999999999999</v>
      </c>
      <c r="F863" s="18">
        <v>2.9559999999999999E-2</v>
      </c>
      <c r="G863" s="16" t="s">
        <v>80</v>
      </c>
      <c r="H863" s="20">
        <f>InputData[[#This Row],[Transacted Units]]*InputData[[#This Row],[Transacted Price (per unit)]]</f>
        <v>30.006355999999997</v>
      </c>
      <c r="I863" s="14"/>
    </row>
    <row r="864" spans="1:9" ht="15.75" customHeight="1" x14ac:dyDescent="0.25">
      <c r="A864" s="16" t="s">
        <v>39</v>
      </c>
      <c r="B864" s="21">
        <v>44414</v>
      </c>
      <c r="C864" s="16" t="s">
        <v>4</v>
      </c>
      <c r="D864" s="17">
        <v>19.600000000000001</v>
      </c>
      <c r="E864" s="18">
        <v>1.0208999999999999</v>
      </c>
      <c r="F864" s="18">
        <v>1.9599999999999999E-2</v>
      </c>
      <c r="G864" s="16" t="s">
        <v>80</v>
      </c>
      <c r="H864" s="20">
        <f>InputData[[#This Row],[Transacted Units]]*InputData[[#This Row],[Transacted Price (per unit)]]</f>
        <v>20.009640000000001</v>
      </c>
      <c r="I864" s="14"/>
    </row>
    <row r="865" spans="1:9" ht="15.75" customHeight="1" x14ac:dyDescent="0.25">
      <c r="A865" s="16" t="s">
        <v>39</v>
      </c>
      <c r="B865" s="21">
        <v>44414</v>
      </c>
      <c r="C865" s="16" t="s">
        <v>4</v>
      </c>
      <c r="D865" s="17">
        <v>19.559999999999999</v>
      </c>
      <c r="E865" s="18">
        <v>1.0229999999999999</v>
      </c>
      <c r="F865" s="18">
        <v>1.9560000000000001E-2</v>
      </c>
      <c r="G865" s="16" t="s">
        <v>80</v>
      </c>
      <c r="H865" s="20">
        <f>InputData[[#This Row],[Transacted Units]]*InputData[[#This Row],[Transacted Price (per unit)]]</f>
        <v>20.009879999999995</v>
      </c>
      <c r="I865" s="14"/>
    </row>
    <row r="866" spans="1:9" ht="15.75" customHeight="1" x14ac:dyDescent="0.25">
      <c r="A866" s="16" t="s">
        <v>39</v>
      </c>
      <c r="B866" s="21">
        <v>44414</v>
      </c>
      <c r="C866" s="16" t="s">
        <v>4</v>
      </c>
      <c r="D866" s="17">
        <v>19.73</v>
      </c>
      <c r="E866" s="18">
        <v>1.0138</v>
      </c>
      <c r="F866" s="18">
        <v>1.9730000000000001E-2</v>
      </c>
      <c r="G866" s="16" t="s">
        <v>80</v>
      </c>
      <c r="H866" s="20">
        <f>InputData[[#This Row],[Transacted Units]]*InputData[[#This Row],[Transacted Price (per unit)]]</f>
        <v>20.002274</v>
      </c>
      <c r="I866" s="14"/>
    </row>
    <row r="867" spans="1:9" ht="15.75" customHeight="1" x14ac:dyDescent="0.25">
      <c r="A867" s="16" t="s">
        <v>39</v>
      </c>
      <c r="B867" s="21">
        <v>44414</v>
      </c>
      <c r="C867" s="16" t="s">
        <v>4</v>
      </c>
      <c r="D867" s="17">
        <v>19.690000000000001</v>
      </c>
      <c r="E867" s="18">
        <v>1.0159</v>
      </c>
      <c r="F867" s="18">
        <v>1.9689999999999999E-2</v>
      </c>
      <c r="G867" s="16" t="s">
        <v>80</v>
      </c>
      <c r="H867" s="20">
        <f>InputData[[#This Row],[Transacted Units]]*InputData[[#This Row],[Transacted Price (per unit)]]</f>
        <v>20.003071000000002</v>
      </c>
      <c r="I867" s="14"/>
    </row>
    <row r="868" spans="1:9" ht="15.75" customHeight="1" x14ac:dyDescent="0.25">
      <c r="A868" s="16" t="s">
        <v>39</v>
      </c>
      <c r="B868" s="21">
        <v>44414</v>
      </c>
      <c r="C868" s="16" t="s">
        <v>4</v>
      </c>
      <c r="D868" s="17">
        <v>19.809999999999999</v>
      </c>
      <c r="E868" s="18">
        <v>1.0099</v>
      </c>
      <c r="F868" s="18">
        <v>1.9810000000000001E-2</v>
      </c>
      <c r="G868" s="16" t="s">
        <v>80</v>
      </c>
      <c r="H868" s="20">
        <f>InputData[[#This Row],[Transacted Units]]*InputData[[#This Row],[Transacted Price (per unit)]]</f>
        <v>20.006118999999998</v>
      </c>
      <c r="I868" s="14"/>
    </row>
    <row r="869" spans="1:9" ht="15.75" customHeight="1" x14ac:dyDescent="0.25">
      <c r="A869" s="16" t="s">
        <v>39</v>
      </c>
      <c r="B869" s="21">
        <v>44411</v>
      </c>
      <c r="C869" s="16" t="s">
        <v>4</v>
      </c>
      <c r="D869" s="17">
        <v>124.83</v>
      </c>
      <c r="E869" s="18">
        <v>0.96130000000000004</v>
      </c>
      <c r="F869" s="18">
        <v>0.12483</v>
      </c>
      <c r="G869" s="16" t="s">
        <v>80</v>
      </c>
      <c r="H869" s="20">
        <f>InputData[[#This Row],[Transacted Units]]*InputData[[#This Row],[Transacted Price (per unit)]]</f>
        <v>119.99907900000001</v>
      </c>
      <c r="I869" s="14"/>
    </row>
    <row r="870" spans="1:9" ht="15.75" customHeight="1" x14ac:dyDescent="0.25">
      <c r="A870" s="16" t="s">
        <v>39</v>
      </c>
      <c r="B870" s="21">
        <v>44411</v>
      </c>
      <c r="C870" s="16" t="s">
        <v>4</v>
      </c>
      <c r="D870" s="17">
        <v>104.17</v>
      </c>
      <c r="E870" s="18">
        <v>0.97199999999999998</v>
      </c>
      <c r="F870" s="18">
        <v>0.10417</v>
      </c>
      <c r="G870" s="16" t="s">
        <v>80</v>
      </c>
      <c r="H870" s="20">
        <f>InputData[[#This Row],[Transacted Units]]*InputData[[#This Row],[Transacted Price (per unit)]]</f>
        <v>101.25324000000001</v>
      </c>
      <c r="I870" s="14"/>
    </row>
    <row r="871" spans="1:9" ht="15.75" customHeight="1" x14ac:dyDescent="0.25">
      <c r="A871" s="16" t="s">
        <v>39</v>
      </c>
      <c r="B871" s="21">
        <v>44410</v>
      </c>
      <c r="C871" s="16" t="s">
        <v>4</v>
      </c>
      <c r="D871" s="17">
        <v>66.62</v>
      </c>
      <c r="E871" s="18">
        <v>1.0133000000000001</v>
      </c>
      <c r="F871" s="18">
        <v>6.6619999999999999E-2</v>
      </c>
      <c r="G871" s="16" t="s">
        <v>80</v>
      </c>
      <c r="H871" s="20">
        <f>InputData[[#This Row],[Transacted Units]]*InputData[[#This Row],[Transacted Price (per unit)]]</f>
        <v>67.506046000000012</v>
      </c>
      <c r="I871" s="14"/>
    </row>
    <row r="872" spans="1:9" ht="15.75" customHeight="1" x14ac:dyDescent="0.25">
      <c r="A872" s="16" t="s">
        <v>39</v>
      </c>
      <c r="B872" s="21">
        <v>44410</v>
      </c>
      <c r="C872" s="16" t="s">
        <v>4</v>
      </c>
      <c r="D872" s="17">
        <v>43.48</v>
      </c>
      <c r="E872" s="18">
        <v>1.0349999999999999</v>
      </c>
      <c r="F872" s="18">
        <v>4.3479999999999998E-2</v>
      </c>
      <c r="G872" s="16" t="s">
        <v>80</v>
      </c>
      <c r="H872" s="20">
        <f>InputData[[#This Row],[Transacted Units]]*InputData[[#This Row],[Transacted Price (per unit)]]</f>
        <v>45.001799999999996</v>
      </c>
      <c r="I872" s="14"/>
    </row>
    <row r="873" spans="1:9" ht="15.75" customHeight="1" x14ac:dyDescent="0.25">
      <c r="A873" s="16" t="s">
        <v>39</v>
      </c>
      <c r="B873" s="21">
        <v>44410</v>
      </c>
      <c r="C873" s="16" t="s">
        <v>4</v>
      </c>
      <c r="D873" s="17">
        <v>28.67</v>
      </c>
      <c r="E873" s="18">
        <v>1.0464</v>
      </c>
      <c r="F873" s="18">
        <v>2.8670000000000001E-2</v>
      </c>
      <c r="G873" s="16" t="s">
        <v>80</v>
      </c>
      <c r="H873" s="20">
        <f>InputData[[#This Row],[Transacted Units]]*InputData[[#This Row],[Transacted Price (per unit)]]</f>
        <v>30.000288000000001</v>
      </c>
      <c r="I873" s="14"/>
    </row>
    <row r="874" spans="1:9" ht="15.75" customHeight="1" x14ac:dyDescent="0.25">
      <c r="A874" s="16" t="s">
        <v>39</v>
      </c>
      <c r="B874" s="21">
        <v>44410</v>
      </c>
      <c r="C874" s="16" t="s">
        <v>4</v>
      </c>
      <c r="D874" s="17">
        <v>19.010000000000002</v>
      </c>
      <c r="E874" s="18">
        <v>1.0524</v>
      </c>
      <c r="F874" s="18">
        <v>1.9009999999999999E-2</v>
      </c>
      <c r="G874" s="16" t="s">
        <v>80</v>
      </c>
      <c r="H874" s="20">
        <f>InputData[[#This Row],[Transacted Units]]*InputData[[#This Row],[Transacted Price (per unit)]]</f>
        <v>20.006124000000003</v>
      </c>
      <c r="I874" s="14"/>
    </row>
    <row r="875" spans="1:9" ht="15.75" customHeight="1" x14ac:dyDescent="0.25">
      <c r="A875" s="16" t="s">
        <v>39</v>
      </c>
      <c r="B875" s="21">
        <v>44410</v>
      </c>
      <c r="C875" s="16" t="s">
        <v>4</v>
      </c>
      <c r="D875" s="17">
        <v>9</v>
      </c>
      <c r="E875" s="18">
        <v>1.0546</v>
      </c>
      <c r="F875" s="18">
        <v>8.9999999999999993E-3</v>
      </c>
      <c r="G875" s="16" t="s">
        <v>80</v>
      </c>
      <c r="H875" s="20">
        <f>InputData[[#This Row],[Transacted Units]]*InputData[[#This Row],[Transacted Price (per unit)]]</f>
        <v>9.4914000000000005</v>
      </c>
      <c r="I875" s="14"/>
    </row>
    <row r="876" spans="1:9" ht="15.75" customHeight="1" x14ac:dyDescent="0.25">
      <c r="A876" s="16" t="s">
        <v>39</v>
      </c>
      <c r="B876" s="21">
        <v>44410</v>
      </c>
      <c r="C876" s="16" t="s">
        <v>4</v>
      </c>
      <c r="D876" s="17">
        <v>9.9700000000000006</v>
      </c>
      <c r="E876" s="18">
        <v>1.0546</v>
      </c>
      <c r="F876" s="18">
        <v>9.9699999999999997E-3</v>
      </c>
      <c r="G876" s="16" t="s">
        <v>80</v>
      </c>
      <c r="H876" s="20">
        <f>InputData[[#This Row],[Transacted Units]]*InputData[[#This Row],[Transacted Price (per unit)]]</f>
        <v>10.514362</v>
      </c>
      <c r="I876" s="14"/>
    </row>
    <row r="877" spans="1:9" ht="15.75" customHeight="1" x14ac:dyDescent="0.25">
      <c r="A877" s="16" t="s">
        <v>39</v>
      </c>
      <c r="B877" s="21">
        <v>44410</v>
      </c>
      <c r="C877" s="16" t="s">
        <v>4</v>
      </c>
      <c r="D877" s="17">
        <v>28.79</v>
      </c>
      <c r="E877" s="18">
        <v>1.0423</v>
      </c>
      <c r="F877" s="18">
        <v>2.879E-2</v>
      </c>
      <c r="G877" s="16" t="s">
        <v>80</v>
      </c>
      <c r="H877" s="20">
        <f>InputData[[#This Row],[Transacted Units]]*InputData[[#This Row],[Transacted Price (per unit)]]</f>
        <v>30.007816999999999</v>
      </c>
      <c r="I877" s="14"/>
    </row>
    <row r="878" spans="1:9" ht="15.75" customHeight="1" x14ac:dyDescent="0.25">
      <c r="A878" s="16" t="s">
        <v>39</v>
      </c>
      <c r="B878" s="21">
        <v>44410</v>
      </c>
      <c r="C878" s="16" t="s">
        <v>4</v>
      </c>
      <c r="D878" s="17">
        <v>19.09</v>
      </c>
      <c r="E878" s="18">
        <v>1.0482</v>
      </c>
      <c r="F878" s="18">
        <v>1.9089999999999999E-2</v>
      </c>
      <c r="G878" s="16" t="s">
        <v>80</v>
      </c>
      <c r="H878" s="20">
        <f>InputData[[#This Row],[Transacted Units]]*InputData[[#This Row],[Transacted Price (per unit)]]</f>
        <v>20.010138000000001</v>
      </c>
      <c r="I878" s="14"/>
    </row>
    <row r="879" spans="1:9" ht="15.75" customHeight="1" x14ac:dyDescent="0.25">
      <c r="A879" s="16" t="s">
        <v>39</v>
      </c>
      <c r="B879" s="21">
        <v>44410</v>
      </c>
      <c r="C879" s="16" t="s">
        <v>4</v>
      </c>
      <c r="D879" s="17">
        <v>19.05</v>
      </c>
      <c r="E879" s="18">
        <v>1.0504</v>
      </c>
      <c r="F879" s="18">
        <v>1.9050000000000001E-2</v>
      </c>
      <c r="G879" s="16" t="s">
        <v>80</v>
      </c>
      <c r="H879" s="20">
        <f>InputData[[#This Row],[Transacted Units]]*InputData[[#This Row],[Transacted Price (per unit)]]</f>
        <v>20.010120000000001</v>
      </c>
      <c r="I879" s="14"/>
    </row>
    <row r="880" spans="1:9" ht="15.75" customHeight="1" x14ac:dyDescent="0.25">
      <c r="A880" s="16" t="s">
        <v>39</v>
      </c>
      <c r="B880" s="21">
        <v>44410</v>
      </c>
      <c r="C880" s="16" t="s">
        <v>4</v>
      </c>
      <c r="D880" s="17">
        <v>19.21</v>
      </c>
      <c r="E880" s="18">
        <v>1.0412999999999999</v>
      </c>
      <c r="F880" s="18">
        <v>1.9210000000000001E-2</v>
      </c>
      <c r="G880" s="16" t="s">
        <v>80</v>
      </c>
      <c r="H880" s="20">
        <f>InputData[[#This Row],[Transacted Units]]*InputData[[#This Row],[Transacted Price (per unit)]]</f>
        <v>20.003373</v>
      </c>
      <c r="I880" s="14"/>
    </row>
    <row r="881" spans="1:9" ht="15.75" customHeight="1" x14ac:dyDescent="0.25">
      <c r="A881" s="16" t="s">
        <v>39</v>
      </c>
      <c r="B881" s="21">
        <v>44410</v>
      </c>
      <c r="C881" s="16" t="s">
        <v>4</v>
      </c>
      <c r="D881" s="17">
        <v>9.84</v>
      </c>
      <c r="E881" s="18">
        <v>1.0434000000000001</v>
      </c>
      <c r="F881" s="18">
        <v>9.8399999999999998E-3</v>
      </c>
      <c r="G881" s="16" t="s">
        <v>80</v>
      </c>
      <c r="H881" s="20">
        <f>InputData[[#This Row],[Transacted Units]]*InputData[[#This Row],[Transacted Price (per unit)]]</f>
        <v>10.267056</v>
      </c>
      <c r="I881" s="14"/>
    </row>
    <row r="882" spans="1:9" ht="15.75" customHeight="1" x14ac:dyDescent="0.25">
      <c r="A882" s="16" t="s">
        <v>39</v>
      </c>
      <c r="B882" s="21">
        <v>44410</v>
      </c>
      <c r="C882" s="16" t="s">
        <v>4</v>
      </c>
      <c r="D882" s="17">
        <v>9.33</v>
      </c>
      <c r="E882" s="18">
        <v>1.0434000000000001</v>
      </c>
      <c r="F882" s="18">
        <v>9.3299999999999998E-3</v>
      </c>
      <c r="G882" s="16" t="s">
        <v>80</v>
      </c>
      <c r="H882" s="20">
        <f>InputData[[#This Row],[Transacted Units]]*InputData[[#This Row],[Transacted Price (per unit)]]</f>
        <v>9.734922000000001</v>
      </c>
      <c r="I882" s="14"/>
    </row>
    <row r="883" spans="1:9" ht="15.75" customHeight="1" x14ac:dyDescent="0.25">
      <c r="A883" s="16" t="s">
        <v>39</v>
      </c>
      <c r="B883" s="21">
        <v>44410</v>
      </c>
      <c r="C883" s="16" t="s">
        <v>4</v>
      </c>
      <c r="D883" s="17">
        <v>19.34</v>
      </c>
      <c r="E883" s="18">
        <v>1.0344</v>
      </c>
      <c r="F883" s="18">
        <v>1.934E-2</v>
      </c>
      <c r="G883" s="16" t="s">
        <v>80</v>
      </c>
      <c r="H883" s="20">
        <f>InputData[[#This Row],[Transacted Units]]*InputData[[#This Row],[Transacted Price (per unit)]]</f>
        <v>20.005296000000001</v>
      </c>
      <c r="I883" s="14"/>
    </row>
    <row r="884" spans="1:9" ht="15.75" customHeight="1" x14ac:dyDescent="0.25">
      <c r="A884" s="16" t="s">
        <v>39</v>
      </c>
      <c r="B884" s="21">
        <v>44410</v>
      </c>
      <c r="C884" s="16" t="s">
        <v>4</v>
      </c>
      <c r="D884" s="17">
        <v>19.29</v>
      </c>
      <c r="E884" s="18">
        <v>1.0365</v>
      </c>
      <c r="F884" s="18">
        <v>1.9290000000000002E-2</v>
      </c>
      <c r="G884" s="16" t="s">
        <v>80</v>
      </c>
      <c r="H884" s="20">
        <f>InputData[[#This Row],[Transacted Units]]*InputData[[#This Row],[Transacted Price (per unit)]]</f>
        <v>19.994084999999998</v>
      </c>
      <c r="I884" s="14"/>
    </row>
    <row r="885" spans="1:9" ht="15.75" customHeight="1" x14ac:dyDescent="0.25">
      <c r="A885" s="16" t="s">
        <v>39</v>
      </c>
      <c r="B885" s="21">
        <v>44410</v>
      </c>
      <c r="C885" s="16" t="s">
        <v>4</v>
      </c>
      <c r="D885" s="17">
        <v>19.48</v>
      </c>
      <c r="E885" s="18">
        <v>1.0270999999999999</v>
      </c>
      <c r="F885" s="18">
        <v>1.9480000000000001E-2</v>
      </c>
      <c r="G885" s="16" t="s">
        <v>80</v>
      </c>
      <c r="H885" s="20">
        <f>InputData[[#This Row],[Transacted Units]]*InputData[[#This Row],[Transacted Price (per unit)]]</f>
        <v>20.007907999999997</v>
      </c>
      <c r="I885" s="14"/>
    </row>
    <row r="886" spans="1:9" ht="15.75" customHeight="1" x14ac:dyDescent="0.25">
      <c r="A886" s="16" t="s">
        <v>39</v>
      </c>
      <c r="B886" s="21">
        <v>44410</v>
      </c>
      <c r="C886" s="16" t="s">
        <v>4</v>
      </c>
      <c r="D886" s="17">
        <v>19.47</v>
      </c>
      <c r="E886" s="18">
        <v>1.0291999999999999</v>
      </c>
      <c r="F886" s="18">
        <v>1.9470000000000001E-2</v>
      </c>
      <c r="G886" s="16" t="s">
        <v>80</v>
      </c>
      <c r="H886" s="20">
        <f>InputData[[#This Row],[Transacted Units]]*InputData[[#This Row],[Transacted Price (per unit)]]</f>
        <v>20.038523999999995</v>
      </c>
      <c r="I886" s="14"/>
    </row>
    <row r="887" spans="1:9" ht="15.75" customHeight="1" x14ac:dyDescent="0.25">
      <c r="A887" s="16" t="s">
        <v>39</v>
      </c>
      <c r="B887" s="21">
        <v>44410</v>
      </c>
      <c r="C887" s="16" t="s">
        <v>4</v>
      </c>
      <c r="D887" s="17">
        <v>19.649999999999999</v>
      </c>
      <c r="E887" s="18">
        <v>1.0182</v>
      </c>
      <c r="F887" s="18">
        <v>1.9650000000000001E-2</v>
      </c>
      <c r="G887" s="16" t="s">
        <v>80</v>
      </c>
      <c r="H887" s="20">
        <f>InputData[[#This Row],[Transacted Units]]*InputData[[#This Row],[Transacted Price (per unit)]]</f>
        <v>20.007629999999999</v>
      </c>
      <c r="I887" s="14"/>
    </row>
    <row r="888" spans="1:9" ht="15.75" customHeight="1" x14ac:dyDescent="0.25">
      <c r="A888" s="16" t="s">
        <v>39</v>
      </c>
      <c r="B888" s="21">
        <v>44410</v>
      </c>
      <c r="C888" s="16" t="s">
        <v>4</v>
      </c>
      <c r="D888" s="17">
        <v>9.64</v>
      </c>
      <c r="E888" s="18">
        <v>1.0204</v>
      </c>
      <c r="F888" s="18">
        <v>9.6399999999999993E-3</v>
      </c>
      <c r="G888" s="16" t="s">
        <v>80</v>
      </c>
      <c r="H888" s="20">
        <f>InputData[[#This Row],[Transacted Units]]*InputData[[#This Row],[Transacted Price (per unit)]]</f>
        <v>9.8366559999999996</v>
      </c>
      <c r="I888" s="14"/>
    </row>
    <row r="889" spans="1:9" ht="15.75" customHeight="1" x14ac:dyDescent="0.25">
      <c r="A889" s="16" t="s">
        <v>39</v>
      </c>
      <c r="B889" s="21">
        <v>44410</v>
      </c>
      <c r="C889" s="16" t="s">
        <v>4</v>
      </c>
      <c r="D889" s="17">
        <v>9.9700000000000006</v>
      </c>
      <c r="E889" s="18">
        <v>1.0202</v>
      </c>
      <c r="F889" s="18">
        <v>9.9699999999999997E-3</v>
      </c>
      <c r="G889" s="16" t="s">
        <v>80</v>
      </c>
      <c r="H889" s="20">
        <f>InputData[[#This Row],[Transacted Units]]*InputData[[#This Row],[Transacted Price (per unit)]]</f>
        <v>10.171394000000001</v>
      </c>
      <c r="I889" s="14"/>
    </row>
    <row r="890" spans="1:9" ht="15.75" customHeight="1" x14ac:dyDescent="0.25">
      <c r="A890" s="16" t="s">
        <v>39</v>
      </c>
      <c r="B890" s="21">
        <v>44410</v>
      </c>
      <c r="C890" s="16" t="s">
        <v>4</v>
      </c>
      <c r="D890" s="17">
        <v>19.77</v>
      </c>
      <c r="E890" s="18">
        <v>1.0117</v>
      </c>
      <c r="F890" s="18">
        <v>1.9769999999999999E-2</v>
      </c>
      <c r="G890" s="16" t="s">
        <v>80</v>
      </c>
      <c r="H890" s="20">
        <f>InputData[[#This Row],[Transacted Units]]*InputData[[#This Row],[Transacted Price (per unit)]]</f>
        <v>20.001308999999999</v>
      </c>
      <c r="I890" s="14"/>
    </row>
    <row r="891" spans="1:9" ht="15.75" customHeight="1" x14ac:dyDescent="0.25">
      <c r="A891" s="16" t="s">
        <v>39</v>
      </c>
      <c r="B891" s="21">
        <v>44410</v>
      </c>
      <c r="C891" s="16" t="s">
        <v>4</v>
      </c>
      <c r="D891" s="17">
        <v>19.75</v>
      </c>
      <c r="E891" s="18">
        <v>1.0138</v>
      </c>
      <c r="F891" s="18">
        <v>1.975E-2</v>
      </c>
      <c r="G891" s="16" t="s">
        <v>80</v>
      </c>
      <c r="H891" s="20">
        <f>InputData[[#This Row],[Transacted Units]]*InputData[[#This Row],[Transacted Price (per unit)]]</f>
        <v>20.022549999999999</v>
      </c>
      <c r="I891" s="14"/>
    </row>
    <row r="892" spans="1:9" ht="15.75" customHeight="1" x14ac:dyDescent="0.25">
      <c r="A892" s="16" t="s">
        <v>39</v>
      </c>
      <c r="B892" s="21">
        <v>44410</v>
      </c>
      <c r="C892" s="16" t="s">
        <v>4</v>
      </c>
      <c r="D892" s="17">
        <v>10</v>
      </c>
      <c r="E892" s="18">
        <v>1.0006999999999999</v>
      </c>
      <c r="F892" s="18">
        <v>0.01</v>
      </c>
      <c r="G892" s="16" t="s">
        <v>80</v>
      </c>
      <c r="H892" s="20">
        <f>InputData[[#This Row],[Transacted Units]]*InputData[[#This Row],[Transacted Price (per unit)]]</f>
        <v>10.007</v>
      </c>
      <c r="I892" s="14"/>
    </row>
    <row r="893" spans="1:9" ht="15.75" customHeight="1" x14ac:dyDescent="0.25">
      <c r="A893" s="16" t="s">
        <v>39</v>
      </c>
      <c r="B893" s="21">
        <v>44410</v>
      </c>
      <c r="C893" s="16" t="s">
        <v>4</v>
      </c>
      <c r="D893" s="17">
        <v>10.08</v>
      </c>
      <c r="E893" s="18">
        <v>1.0027999999999999</v>
      </c>
      <c r="F893" s="18">
        <v>1.008E-2</v>
      </c>
      <c r="G893" s="16" t="s">
        <v>80</v>
      </c>
      <c r="H893" s="20">
        <f>InputData[[#This Row],[Transacted Units]]*InputData[[#This Row],[Transacted Price (per unit)]]</f>
        <v>10.108224</v>
      </c>
      <c r="I893" s="14"/>
    </row>
    <row r="894" spans="1:9" ht="15.75" customHeight="1" x14ac:dyDescent="0.25">
      <c r="A894" s="16" t="s">
        <v>39</v>
      </c>
      <c r="B894" s="21">
        <v>44410</v>
      </c>
      <c r="C894" s="16" t="s">
        <v>4</v>
      </c>
      <c r="D894" s="17">
        <v>10.06</v>
      </c>
      <c r="E894" s="18">
        <v>0.99419999999999997</v>
      </c>
      <c r="F894" s="18">
        <v>1.0059999999999999E-2</v>
      </c>
      <c r="G894" s="16" t="s">
        <v>80</v>
      </c>
      <c r="H894" s="20">
        <f>InputData[[#This Row],[Transacted Units]]*InputData[[#This Row],[Transacted Price (per unit)]]</f>
        <v>10.001652</v>
      </c>
      <c r="I894" s="14"/>
    </row>
    <row r="895" spans="1:9" ht="15.75" customHeight="1" x14ac:dyDescent="0.25">
      <c r="A895" s="16" t="s">
        <v>39</v>
      </c>
      <c r="B895" s="21">
        <v>44410</v>
      </c>
      <c r="C895" s="16" t="s">
        <v>4</v>
      </c>
      <c r="D895" s="17">
        <v>10.14</v>
      </c>
      <c r="E895" s="18">
        <v>0.99619999999999997</v>
      </c>
      <c r="F895" s="18">
        <v>1.014E-2</v>
      </c>
      <c r="G895" s="16" t="s">
        <v>80</v>
      </c>
      <c r="H895" s="20">
        <f>InputData[[#This Row],[Transacted Units]]*InputData[[#This Row],[Transacted Price (per unit)]]</f>
        <v>10.101468000000001</v>
      </c>
      <c r="I895" s="14"/>
    </row>
    <row r="896" spans="1:9" ht="15.75" customHeight="1" x14ac:dyDescent="0.25">
      <c r="A896" s="16" t="s">
        <v>39</v>
      </c>
      <c r="B896" s="21">
        <v>44410</v>
      </c>
      <c r="C896" s="16" t="s">
        <v>4</v>
      </c>
      <c r="D896" s="17">
        <v>15.23</v>
      </c>
      <c r="E896" s="18">
        <v>0.98540000000000005</v>
      </c>
      <c r="F896" s="18">
        <v>1.523E-2</v>
      </c>
      <c r="G896" s="16" t="s">
        <v>80</v>
      </c>
      <c r="H896" s="20">
        <f>InputData[[#This Row],[Transacted Units]]*InputData[[#This Row],[Transacted Price (per unit)]]</f>
        <v>15.007642000000001</v>
      </c>
      <c r="I896" s="14"/>
    </row>
    <row r="897" spans="1:9" ht="15.75" customHeight="1" x14ac:dyDescent="0.25">
      <c r="A897" s="16" t="s">
        <v>39</v>
      </c>
      <c r="B897" s="21">
        <v>44409</v>
      </c>
      <c r="C897" s="16" t="s">
        <v>4</v>
      </c>
      <c r="D897" s="17">
        <v>10.09</v>
      </c>
      <c r="E897" s="18">
        <v>0.99109999999999998</v>
      </c>
      <c r="F897" s="18">
        <v>1.009E-2</v>
      </c>
      <c r="G897" s="16" t="s">
        <v>80</v>
      </c>
      <c r="H897" s="20">
        <f>InputData[[#This Row],[Transacted Units]]*InputData[[#This Row],[Transacted Price (per unit)]]</f>
        <v>10.000199</v>
      </c>
      <c r="I897" s="14"/>
    </row>
    <row r="898" spans="1:9" ht="15.75" customHeight="1" x14ac:dyDescent="0.25">
      <c r="A898" s="16" t="s">
        <v>39</v>
      </c>
      <c r="B898" s="21">
        <v>44409</v>
      </c>
      <c r="C898" s="16" t="s">
        <v>4</v>
      </c>
      <c r="D898" s="17">
        <v>10.18</v>
      </c>
      <c r="E898" s="18">
        <v>0.99309999999999998</v>
      </c>
      <c r="F898" s="18">
        <v>1.018E-2</v>
      </c>
      <c r="G898" s="16" t="s">
        <v>80</v>
      </c>
      <c r="H898" s="20">
        <f>InputData[[#This Row],[Transacted Units]]*InputData[[#This Row],[Transacted Price (per unit)]]</f>
        <v>10.109757999999999</v>
      </c>
      <c r="I898" s="14"/>
    </row>
    <row r="899" spans="1:9" ht="15.75" customHeight="1" x14ac:dyDescent="0.25">
      <c r="A899" s="16" t="s">
        <v>39</v>
      </c>
      <c r="B899" s="21">
        <v>44409</v>
      </c>
      <c r="C899" s="16" t="s">
        <v>4</v>
      </c>
      <c r="D899" s="17">
        <v>1755.8121000000001</v>
      </c>
      <c r="E899" s="18">
        <v>1.99</v>
      </c>
      <c r="F899" s="18">
        <v>5</v>
      </c>
      <c r="G899" s="16" t="s">
        <v>80</v>
      </c>
      <c r="H899" s="20">
        <f>InputData[[#This Row],[Transacted Units]]*InputData[[#This Row],[Transacted Price (per unit)]]</f>
        <v>3494.0660790000002</v>
      </c>
      <c r="I899" s="14"/>
    </row>
    <row r="900" spans="1:9" ht="15.75" customHeight="1" x14ac:dyDescent="0.25">
      <c r="A900" s="16" t="s">
        <v>39</v>
      </c>
      <c r="B900" s="21">
        <v>44505</v>
      </c>
      <c r="C900" s="16" t="s">
        <v>5</v>
      </c>
      <c r="D900" s="17">
        <v>87</v>
      </c>
      <c r="E900" s="18">
        <v>1.6165</v>
      </c>
      <c r="F900" s="18">
        <v>0.1406355</v>
      </c>
      <c r="G900" s="16" t="s">
        <v>80</v>
      </c>
      <c r="H900" s="20">
        <f>InputData[[#This Row],[Transacted Units]]*InputData[[#This Row],[Transacted Price (per unit)]]</f>
        <v>140.63550000000001</v>
      </c>
      <c r="I900" s="14"/>
    </row>
    <row r="901" spans="1:9" ht="15.75" customHeight="1" x14ac:dyDescent="0.25">
      <c r="A901" s="16" t="s">
        <v>39</v>
      </c>
      <c r="B901" s="21">
        <v>44504</v>
      </c>
      <c r="C901" s="16" t="s">
        <v>5</v>
      </c>
      <c r="D901" s="17">
        <v>918</v>
      </c>
      <c r="E901" s="18">
        <v>1.6237999999999999</v>
      </c>
      <c r="F901" s="18">
        <v>1.4906484</v>
      </c>
      <c r="G901" s="16" t="s">
        <v>80</v>
      </c>
      <c r="H901" s="20">
        <f>InputData[[#This Row],[Transacted Units]]*InputData[[#This Row],[Transacted Price (per unit)]]</f>
        <v>1490.6483999999998</v>
      </c>
      <c r="I901" s="14"/>
    </row>
    <row r="902" spans="1:9" ht="15.75" customHeight="1" x14ac:dyDescent="0.25">
      <c r="A902" s="16" t="s">
        <v>39</v>
      </c>
      <c r="B902" s="21">
        <v>44504</v>
      </c>
      <c r="C902" s="16" t="s">
        <v>5</v>
      </c>
      <c r="D902" s="17">
        <v>45</v>
      </c>
      <c r="E902" s="18">
        <v>1.6637999999999999</v>
      </c>
      <c r="F902" s="18">
        <v>7.4870999999999993E-2</v>
      </c>
      <c r="G902" s="16" t="s">
        <v>80</v>
      </c>
      <c r="H902" s="20">
        <f>InputData[[#This Row],[Transacted Units]]*InputData[[#This Row],[Transacted Price (per unit)]]</f>
        <v>74.870999999999995</v>
      </c>
      <c r="I902" s="14"/>
    </row>
    <row r="903" spans="1:9" ht="15.75" customHeight="1" x14ac:dyDescent="0.25">
      <c r="A903" s="16" t="s">
        <v>39</v>
      </c>
      <c r="B903" s="21">
        <v>44504</v>
      </c>
      <c r="C903" s="16" t="s">
        <v>5</v>
      </c>
      <c r="D903" s="17">
        <v>478</v>
      </c>
      <c r="E903" s="18">
        <v>1.6535</v>
      </c>
      <c r="F903" s="18">
        <v>0.79037299999999999</v>
      </c>
      <c r="G903" s="16" t="s">
        <v>80</v>
      </c>
      <c r="H903" s="20">
        <f>InputData[[#This Row],[Transacted Units]]*InputData[[#This Row],[Transacted Price (per unit)]]</f>
        <v>790.37299999999993</v>
      </c>
      <c r="I903" s="14"/>
    </row>
    <row r="904" spans="1:9" ht="15.75" customHeight="1" x14ac:dyDescent="0.25">
      <c r="A904" s="16" t="s">
        <v>39</v>
      </c>
      <c r="B904" s="21">
        <v>44504</v>
      </c>
      <c r="C904" s="16" t="s">
        <v>5</v>
      </c>
      <c r="D904" s="17">
        <v>481</v>
      </c>
      <c r="E904" s="18">
        <v>1.6485000000000001</v>
      </c>
      <c r="F904" s="18">
        <v>0.79292850000000004</v>
      </c>
      <c r="G904" s="16" t="s">
        <v>80</v>
      </c>
      <c r="H904" s="20">
        <f>InputData[[#This Row],[Transacted Units]]*InputData[[#This Row],[Transacted Price (per unit)]]</f>
        <v>792.92849999999999</v>
      </c>
      <c r="I904" s="14"/>
    </row>
    <row r="905" spans="1:9" ht="15.75" customHeight="1" x14ac:dyDescent="0.25">
      <c r="A905" s="16" t="s">
        <v>39</v>
      </c>
      <c r="B905" s="21">
        <v>44503</v>
      </c>
      <c r="C905" s="16" t="s">
        <v>5</v>
      </c>
      <c r="D905" s="17">
        <v>792</v>
      </c>
      <c r="E905" s="18">
        <v>1.6388</v>
      </c>
      <c r="F905" s="18">
        <v>1.2979296</v>
      </c>
      <c r="G905" s="16" t="s">
        <v>80</v>
      </c>
      <c r="H905" s="20">
        <f>InputData[[#This Row],[Transacted Units]]*InputData[[#This Row],[Transacted Price (per unit)]]</f>
        <v>1297.9295999999999</v>
      </c>
      <c r="I905" s="14"/>
    </row>
    <row r="906" spans="1:9" ht="15.75" customHeight="1" x14ac:dyDescent="0.25">
      <c r="A906" s="16" t="s">
        <v>39</v>
      </c>
      <c r="B906" s="21">
        <v>44503</v>
      </c>
      <c r="C906" s="16" t="s">
        <v>5</v>
      </c>
      <c r="D906" s="17">
        <v>273</v>
      </c>
      <c r="E906" s="18">
        <v>1.6553</v>
      </c>
      <c r="F906" s="18">
        <v>0.45189689999999999</v>
      </c>
      <c r="G906" s="16" t="s">
        <v>80</v>
      </c>
      <c r="H906" s="20">
        <f>InputData[[#This Row],[Transacted Units]]*InputData[[#This Row],[Transacted Price (per unit)]]</f>
        <v>451.89690000000002</v>
      </c>
      <c r="I906" s="14"/>
    </row>
    <row r="907" spans="1:9" ht="15.75" customHeight="1" x14ac:dyDescent="0.25">
      <c r="A907" s="16" t="s">
        <v>39</v>
      </c>
      <c r="B907" s="21">
        <v>44503</v>
      </c>
      <c r="C907" s="16" t="s">
        <v>5</v>
      </c>
      <c r="D907" s="17">
        <v>96</v>
      </c>
      <c r="E907" s="18">
        <v>1.6433</v>
      </c>
      <c r="F907" s="18">
        <v>0.1577568</v>
      </c>
      <c r="G907" s="16" t="s">
        <v>80</v>
      </c>
      <c r="H907" s="20">
        <f>InputData[[#This Row],[Transacted Units]]*InputData[[#This Row],[Transacted Price (per unit)]]</f>
        <v>157.7568</v>
      </c>
      <c r="I907" s="14"/>
    </row>
    <row r="908" spans="1:9" ht="15.75" customHeight="1" x14ac:dyDescent="0.25">
      <c r="A908" s="16" t="s">
        <v>39</v>
      </c>
      <c r="B908" s="21">
        <v>44503</v>
      </c>
      <c r="C908" s="16" t="s">
        <v>5</v>
      </c>
      <c r="D908" s="17">
        <v>42</v>
      </c>
      <c r="E908" s="18">
        <v>1.6443000000000001</v>
      </c>
      <c r="F908" s="18">
        <v>6.90606E-2</v>
      </c>
      <c r="G908" s="16" t="s">
        <v>80</v>
      </c>
      <c r="H908" s="20">
        <f>InputData[[#This Row],[Transacted Units]]*InputData[[#This Row],[Transacted Price (per unit)]]</f>
        <v>69.060600000000008</v>
      </c>
      <c r="I908" s="14"/>
    </row>
    <row r="909" spans="1:9" ht="15.75" customHeight="1" x14ac:dyDescent="0.25">
      <c r="A909" s="16" t="s">
        <v>39</v>
      </c>
      <c r="B909" s="21">
        <v>44503</v>
      </c>
      <c r="C909" s="16" t="s">
        <v>5</v>
      </c>
      <c r="D909" s="17">
        <v>139</v>
      </c>
      <c r="E909" s="18">
        <v>1.6223000000000001</v>
      </c>
      <c r="F909" s="18">
        <v>0.2254997</v>
      </c>
      <c r="G909" s="16" t="s">
        <v>80</v>
      </c>
      <c r="H909" s="20">
        <f>InputData[[#This Row],[Transacted Units]]*InputData[[#This Row],[Transacted Price (per unit)]]</f>
        <v>225.49970000000002</v>
      </c>
      <c r="I909" s="14"/>
    </row>
    <row r="910" spans="1:9" ht="15.75" customHeight="1" x14ac:dyDescent="0.25">
      <c r="A910" s="16" t="s">
        <v>39</v>
      </c>
      <c r="B910" s="21">
        <v>44503</v>
      </c>
      <c r="C910" s="16" t="s">
        <v>5</v>
      </c>
      <c r="D910" s="17">
        <v>282</v>
      </c>
      <c r="E910" s="18">
        <v>1.6022000000000001</v>
      </c>
      <c r="F910" s="18">
        <v>0.45182040000000001</v>
      </c>
      <c r="G910" s="16" t="s">
        <v>80</v>
      </c>
      <c r="H910" s="20">
        <f>InputData[[#This Row],[Transacted Units]]*InputData[[#This Row],[Transacted Price (per unit)]]</f>
        <v>451.82040000000001</v>
      </c>
      <c r="I910" s="14"/>
    </row>
    <row r="911" spans="1:9" ht="15.75" customHeight="1" x14ac:dyDescent="0.25">
      <c r="A911" s="16" t="s">
        <v>39</v>
      </c>
      <c r="B911" s="21">
        <v>44503</v>
      </c>
      <c r="C911" s="16" t="s">
        <v>5</v>
      </c>
      <c r="D911" s="17">
        <v>47</v>
      </c>
      <c r="E911" s="18">
        <v>1.5908</v>
      </c>
      <c r="F911" s="18">
        <v>7.4767600000000004E-2</v>
      </c>
      <c r="G911" s="16" t="s">
        <v>80</v>
      </c>
      <c r="H911" s="20">
        <f>InputData[[#This Row],[Transacted Units]]*InputData[[#This Row],[Transacted Price (per unit)]]</f>
        <v>74.767600000000002</v>
      </c>
      <c r="I911" s="14"/>
    </row>
    <row r="912" spans="1:9" ht="15.75" customHeight="1" x14ac:dyDescent="0.25">
      <c r="A912" s="16" t="s">
        <v>39</v>
      </c>
      <c r="B912" s="21">
        <v>44503</v>
      </c>
      <c r="C912" s="16" t="s">
        <v>5</v>
      </c>
      <c r="D912" s="17">
        <v>46</v>
      </c>
      <c r="E912" s="18">
        <v>1.5685</v>
      </c>
      <c r="F912" s="18">
        <v>7.2151000000000007E-2</v>
      </c>
      <c r="G912" s="16" t="s">
        <v>80</v>
      </c>
      <c r="H912" s="20">
        <f>InputData[[#This Row],[Transacted Units]]*InputData[[#This Row],[Transacted Price (per unit)]]</f>
        <v>72.150999999999996</v>
      </c>
      <c r="I912" s="14"/>
    </row>
    <row r="913" spans="1:9" ht="15.75" customHeight="1" x14ac:dyDescent="0.25">
      <c r="A913" s="16" t="s">
        <v>39</v>
      </c>
      <c r="B913" s="21">
        <v>44503</v>
      </c>
      <c r="C913" s="16" t="s">
        <v>5</v>
      </c>
      <c r="D913" s="17">
        <v>52</v>
      </c>
      <c r="E913" s="18">
        <v>1.5680000000000001</v>
      </c>
      <c r="F913" s="18">
        <v>8.1535999999999997E-2</v>
      </c>
      <c r="G913" s="16" t="s">
        <v>80</v>
      </c>
      <c r="H913" s="20">
        <f>InputData[[#This Row],[Transacted Units]]*InputData[[#This Row],[Transacted Price (per unit)]]</f>
        <v>81.536000000000001</v>
      </c>
      <c r="I913" s="14"/>
    </row>
    <row r="914" spans="1:9" ht="15.75" customHeight="1" x14ac:dyDescent="0.25">
      <c r="A914" s="16" t="s">
        <v>39</v>
      </c>
      <c r="B914" s="21">
        <v>44503</v>
      </c>
      <c r="C914" s="16" t="s">
        <v>5</v>
      </c>
      <c r="D914" s="17">
        <v>7</v>
      </c>
      <c r="E914" s="18">
        <v>1.5685</v>
      </c>
      <c r="F914" s="18">
        <v>1.09795E-2</v>
      </c>
      <c r="G914" s="16" t="s">
        <v>80</v>
      </c>
      <c r="H914" s="20">
        <f>InputData[[#This Row],[Transacted Units]]*InputData[[#This Row],[Transacted Price (per unit)]]</f>
        <v>10.9795</v>
      </c>
      <c r="I914" s="14"/>
    </row>
    <row r="915" spans="1:9" ht="15.75" customHeight="1" x14ac:dyDescent="0.25">
      <c r="A915" s="16" t="s">
        <v>39</v>
      </c>
      <c r="B915" s="21">
        <v>44503</v>
      </c>
      <c r="C915" s="16" t="s">
        <v>5</v>
      </c>
      <c r="D915" s="17">
        <v>39</v>
      </c>
      <c r="E915" s="18">
        <v>1.5679000000000001</v>
      </c>
      <c r="F915" s="18">
        <v>6.1148099999999997E-2</v>
      </c>
      <c r="G915" s="16" t="s">
        <v>80</v>
      </c>
      <c r="H915" s="20">
        <f>InputData[[#This Row],[Transacted Units]]*InputData[[#This Row],[Transacted Price (per unit)]]</f>
        <v>61.148099999999999</v>
      </c>
      <c r="I915" s="14"/>
    </row>
    <row r="916" spans="1:9" ht="15.75" customHeight="1" x14ac:dyDescent="0.25">
      <c r="A916" s="16" t="s">
        <v>39</v>
      </c>
      <c r="B916" s="21">
        <v>44503</v>
      </c>
      <c r="C916" s="16" t="s">
        <v>5</v>
      </c>
      <c r="D916" s="17">
        <v>292</v>
      </c>
      <c r="E916" s="18">
        <v>1.5422</v>
      </c>
      <c r="F916" s="18">
        <v>0.45032240000000001</v>
      </c>
      <c r="G916" s="16" t="s">
        <v>80</v>
      </c>
      <c r="H916" s="20">
        <f>InputData[[#This Row],[Transacted Units]]*InputData[[#This Row],[Transacted Price (per unit)]]</f>
        <v>450.32240000000002</v>
      </c>
      <c r="I916" s="14"/>
    </row>
    <row r="917" spans="1:9" ht="15.75" customHeight="1" x14ac:dyDescent="0.25">
      <c r="A917" s="16" t="s">
        <v>39</v>
      </c>
      <c r="B917" s="21">
        <v>44502</v>
      </c>
      <c r="C917" s="16" t="s">
        <v>5</v>
      </c>
      <c r="D917" s="17">
        <v>148</v>
      </c>
      <c r="E917" s="18">
        <v>1.5279</v>
      </c>
      <c r="F917" s="18">
        <v>0.2261292</v>
      </c>
      <c r="G917" s="16" t="s">
        <v>80</v>
      </c>
      <c r="H917" s="20">
        <f>InputData[[#This Row],[Transacted Units]]*InputData[[#This Row],[Transacted Price (per unit)]]</f>
        <v>226.1292</v>
      </c>
      <c r="I917" s="14"/>
    </row>
    <row r="918" spans="1:9" ht="15.75" customHeight="1" x14ac:dyDescent="0.25">
      <c r="A918" s="16" t="s">
        <v>39</v>
      </c>
      <c r="B918" s="21">
        <v>44502</v>
      </c>
      <c r="C918" s="16" t="s">
        <v>5</v>
      </c>
      <c r="D918" s="17">
        <v>150</v>
      </c>
      <c r="E918" s="18">
        <v>1.5097</v>
      </c>
      <c r="F918" s="18">
        <v>0.22645499999999999</v>
      </c>
      <c r="G918" s="16" t="s">
        <v>80</v>
      </c>
      <c r="H918" s="20">
        <f>InputData[[#This Row],[Transacted Units]]*InputData[[#This Row],[Transacted Price (per unit)]]</f>
        <v>226.45500000000001</v>
      </c>
      <c r="I918" s="14"/>
    </row>
    <row r="919" spans="1:9" ht="15.75" customHeight="1" x14ac:dyDescent="0.25">
      <c r="A919" s="16" t="s">
        <v>39</v>
      </c>
      <c r="B919" s="21">
        <v>44502</v>
      </c>
      <c r="C919" s="16" t="s">
        <v>5</v>
      </c>
      <c r="D919" s="17">
        <v>1316</v>
      </c>
      <c r="E919" s="18">
        <v>1.49</v>
      </c>
      <c r="F919" s="18">
        <v>1.9608399999999999</v>
      </c>
      <c r="G919" s="16" t="s">
        <v>80</v>
      </c>
      <c r="H919" s="20">
        <f>InputData[[#This Row],[Transacted Units]]*InputData[[#This Row],[Transacted Price (per unit)]]</f>
        <v>1960.84</v>
      </c>
      <c r="I919" s="14"/>
    </row>
    <row r="920" spans="1:9" ht="15.75" customHeight="1" x14ac:dyDescent="0.25">
      <c r="A920" s="16" t="s">
        <v>39</v>
      </c>
      <c r="B920" s="21">
        <v>44501</v>
      </c>
      <c r="C920" s="16" t="s">
        <v>5</v>
      </c>
      <c r="D920" s="17">
        <v>1358</v>
      </c>
      <c r="E920" s="18">
        <v>1.5012000000000001</v>
      </c>
      <c r="F920" s="18">
        <v>2.0386296000000002</v>
      </c>
      <c r="G920" s="16" t="s">
        <v>80</v>
      </c>
      <c r="H920" s="20">
        <f>InputData[[#This Row],[Transacted Units]]*InputData[[#This Row],[Transacted Price (per unit)]]</f>
        <v>2038.6296000000002</v>
      </c>
      <c r="I920" s="14"/>
    </row>
    <row r="921" spans="1:9" ht="15.75" customHeight="1" x14ac:dyDescent="0.25">
      <c r="A921" s="16" t="s">
        <v>39</v>
      </c>
      <c r="B921" s="21">
        <v>44500</v>
      </c>
      <c r="C921" s="16" t="s">
        <v>5</v>
      </c>
      <c r="D921" s="17">
        <v>195</v>
      </c>
      <c r="E921" s="18">
        <v>1.5364</v>
      </c>
      <c r="F921" s="18">
        <v>0.29959799999999998</v>
      </c>
      <c r="G921" s="16" t="s">
        <v>80</v>
      </c>
      <c r="H921" s="20">
        <f>InputData[[#This Row],[Transacted Units]]*InputData[[#This Row],[Transacted Price (per unit)]]</f>
        <v>299.59800000000001</v>
      </c>
      <c r="I921" s="14"/>
    </row>
    <row r="922" spans="1:9" ht="15.75" customHeight="1" x14ac:dyDescent="0.25">
      <c r="A922" s="16" t="s">
        <v>39</v>
      </c>
      <c r="B922" s="21">
        <v>44500</v>
      </c>
      <c r="C922" s="16" t="s">
        <v>5</v>
      </c>
      <c r="D922" s="17">
        <v>99</v>
      </c>
      <c r="E922" s="18">
        <v>1.5203</v>
      </c>
      <c r="F922" s="18">
        <v>0.1505097</v>
      </c>
      <c r="G922" s="16" t="s">
        <v>80</v>
      </c>
      <c r="H922" s="20">
        <f>InputData[[#This Row],[Transacted Units]]*InputData[[#This Row],[Transacted Price (per unit)]]</f>
        <v>150.50970000000001</v>
      </c>
      <c r="I922" s="14"/>
    </row>
    <row r="923" spans="1:9" ht="15.75" customHeight="1" x14ac:dyDescent="0.25">
      <c r="A923" s="16" t="s">
        <v>39</v>
      </c>
      <c r="B923" s="21">
        <v>44500</v>
      </c>
      <c r="C923" s="16" t="s">
        <v>5</v>
      </c>
      <c r="D923" s="17">
        <v>100</v>
      </c>
      <c r="E923" s="18">
        <v>1.4964999999999999</v>
      </c>
      <c r="F923" s="18">
        <v>0.14965000000000001</v>
      </c>
      <c r="G923" s="16" t="s">
        <v>80</v>
      </c>
      <c r="H923" s="20">
        <f>InputData[[#This Row],[Transacted Units]]*InputData[[#This Row],[Transacted Price (per unit)]]</f>
        <v>149.65</v>
      </c>
      <c r="I923" s="14"/>
    </row>
    <row r="924" spans="1:9" ht="15.75" customHeight="1" x14ac:dyDescent="0.25">
      <c r="A924" s="16" t="s">
        <v>39</v>
      </c>
      <c r="B924" s="21">
        <v>44500</v>
      </c>
      <c r="C924" s="16" t="s">
        <v>5</v>
      </c>
      <c r="D924" s="17">
        <v>584</v>
      </c>
      <c r="E924" s="18">
        <v>1.4806999999999999</v>
      </c>
      <c r="F924" s="18">
        <v>0.86472879999999996</v>
      </c>
      <c r="G924" s="16" t="s">
        <v>80</v>
      </c>
      <c r="H924" s="20">
        <f>InputData[[#This Row],[Transacted Units]]*InputData[[#This Row],[Transacted Price (per unit)]]</f>
        <v>864.72879999999998</v>
      </c>
      <c r="I924" s="14"/>
    </row>
    <row r="925" spans="1:9" ht="15.75" customHeight="1" x14ac:dyDescent="0.25">
      <c r="A925" s="16" t="s">
        <v>39</v>
      </c>
      <c r="B925" s="21">
        <v>44500</v>
      </c>
      <c r="C925" s="16" t="s">
        <v>5</v>
      </c>
      <c r="D925" s="17">
        <v>379</v>
      </c>
      <c r="E925" s="18">
        <v>1.4676</v>
      </c>
      <c r="F925" s="18">
        <v>0.55622039999999995</v>
      </c>
      <c r="G925" s="16" t="s">
        <v>80</v>
      </c>
      <c r="H925" s="20">
        <f>InputData[[#This Row],[Transacted Units]]*InputData[[#This Row],[Transacted Price (per unit)]]</f>
        <v>556.22040000000004</v>
      </c>
      <c r="I925" s="14"/>
    </row>
    <row r="926" spans="1:9" ht="15.75" customHeight="1" x14ac:dyDescent="0.25">
      <c r="A926" s="16" t="s">
        <v>39</v>
      </c>
      <c r="B926" s="21">
        <v>44499</v>
      </c>
      <c r="C926" s="16" t="s">
        <v>5</v>
      </c>
      <c r="D926" s="17">
        <v>195</v>
      </c>
      <c r="E926" s="18">
        <v>1.4856</v>
      </c>
      <c r="F926" s="18">
        <v>0.28969200000000001</v>
      </c>
      <c r="G926" s="16" t="s">
        <v>80</v>
      </c>
      <c r="H926" s="20">
        <f>InputData[[#This Row],[Transacted Units]]*InputData[[#This Row],[Transacted Price (per unit)]]</f>
        <v>289.69200000000001</v>
      </c>
      <c r="I926" s="14"/>
    </row>
    <row r="927" spans="1:9" ht="15.75" customHeight="1" x14ac:dyDescent="0.25">
      <c r="A927" s="16" t="s">
        <v>39</v>
      </c>
      <c r="B927" s="21">
        <v>44499</v>
      </c>
      <c r="C927" s="16" t="s">
        <v>5</v>
      </c>
      <c r="D927" s="17">
        <v>7</v>
      </c>
      <c r="E927" s="18">
        <v>1.4855</v>
      </c>
      <c r="F927" s="18">
        <v>1.03985E-2</v>
      </c>
      <c r="G927" s="16" t="s">
        <v>80</v>
      </c>
      <c r="H927" s="20">
        <f>InputData[[#This Row],[Transacted Units]]*InputData[[#This Row],[Transacted Price (per unit)]]</f>
        <v>10.3985</v>
      </c>
      <c r="I927" s="14"/>
    </row>
    <row r="928" spans="1:9" ht="15.75" customHeight="1" x14ac:dyDescent="0.25">
      <c r="A928" s="16" t="s">
        <v>39</v>
      </c>
      <c r="B928" s="21">
        <v>44499</v>
      </c>
      <c r="C928" s="16" t="s">
        <v>5</v>
      </c>
      <c r="D928" s="17">
        <v>34</v>
      </c>
      <c r="E928" s="18">
        <v>1.4772000000000001</v>
      </c>
      <c r="F928" s="18">
        <v>5.02248E-2</v>
      </c>
      <c r="G928" s="16" t="s">
        <v>80</v>
      </c>
      <c r="H928" s="20">
        <f>InputData[[#This Row],[Transacted Units]]*InputData[[#This Row],[Transacted Price (per unit)]]</f>
        <v>50.224800000000002</v>
      </c>
      <c r="I928" s="14"/>
    </row>
    <row r="929" spans="1:9" ht="15.75" customHeight="1" x14ac:dyDescent="0.25">
      <c r="A929" s="16" t="s">
        <v>39</v>
      </c>
      <c r="B929" s="21">
        <v>44499</v>
      </c>
      <c r="C929" s="16" t="s">
        <v>5</v>
      </c>
      <c r="D929" s="17">
        <v>207</v>
      </c>
      <c r="E929" s="18">
        <v>1.4545999999999999</v>
      </c>
      <c r="F929" s="18">
        <v>0.30110219999999999</v>
      </c>
      <c r="G929" s="16" t="s">
        <v>80</v>
      </c>
      <c r="H929" s="20">
        <f>InputData[[#This Row],[Transacted Units]]*InputData[[#This Row],[Transacted Price (per unit)]]</f>
        <v>301.10219999999998</v>
      </c>
      <c r="I929" s="14"/>
    </row>
    <row r="930" spans="1:9" ht="15.75" customHeight="1" x14ac:dyDescent="0.25">
      <c r="A930" s="16" t="s">
        <v>39</v>
      </c>
      <c r="B930" s="21">
        <v>44498</v>
      </c>
      <c r="C930" s="16" t="s">
        <v>5</v>
      </c>
      <c r="D930" s="17">
        <v>339</v>
      </c>
      <c r="E930" s="18">
        <v>1.4360999999999999</v>
      </c>
      <c r="F930" s="18">
        <v>0.48683789999999999</v>
      </c>
      <c r="G930" s="16" t="s">
        <v>80</v>
      </c>
      <c r="H930" s="20">
        <f>InputData[[#This Row],[Transacted Units]]*InputData[[#This Row],[Transacted Price (per unit)]]</f>
        <v>486.83789999999999</v>
      </c>
      <c r="I930" s="14"/>
    </row>
    <row r="931" spans="1:9" ht="15.75" customHeight="1" x14ac:dyDescent="0.25">
      <c r="A931" s="16" t="s">
        <v>39</v>
      </c>
      <c r="B931" s="21">
        <v>44498</v>
      </c>
      <c r="C931" s="16" t="s">
        <v>5</v>
      </c>
      <c r="D931" s="17">
        <v>466</v>
      </c>
      <c r="E931" s="18">
        <v>1.4298</v>
      </c>
      <c r="F931" s="18">
        <v>0.66628679999999996</v>
      </c>
      <c r="G931" s="16" t="s">
        <v>80</v>
      </c>
      <c r="H931" s="20">
        <f>InputData[[#This Row],[Transacted Units]]*InputData[[#This Row],[Transacted Price (per unit)]]</f>
        <v>666.28679999999997</v>
      </c>
      <c r="I931" s="14"/>
    </row>
    <row r="932" spans="1:9" ht="15.75" customHeight="1" x14ac:dyDescent="0.25">
      <c r="A932" s="16" t="s">
        <v>39</v>
      </c>
      <c r="B932" s="21">
        <v>44498</v>
      </c>
      <c r="C932" s="16" t="s">
        <v>5</v>
      </c>
      <c r="D932" s="17">
        <v>534</v>
      </c>
      <c r="E932" s="18">
        <v>1.43</v>
      </c>
      <c r="F932" s="18">
        <v>0.76361999999999997</v>
      </c>
      <c r="G932" s="16" t="s">
        <v>80</v>
      </c>
      <c r="H932" s="20">
        <f>InputData[[#This Row],[Transacted Units]]*InputData[[#This Row],[Transacted Price (per unit)]]</f>
        <v>763.62</v>
      </c>
      <c r="I932" s="14"/>
    </row>
    <row r="933" spans="1:9" ht="15.75" customHeight="1" x14ac:dyDescent="0.25">
      <c r="A933" s="16" t="s">
        <v>39</v>
      </c>
      <c r="B933" s="21">
        <v>44498</v>
      </c>
      <c r="C933" s="16" t="s">
        <v>5</v>
      </c>
      <c r="D933" s="17">
        <v>1857</v>
      </c>
      <c r="E933" s="18">
        <v>1.431</v>
      </c>
      <c r="F933" s="18">
        <v>2.6573669999999998</v>
      </c>
      <c r="G933" s="16" t="s">
        <v>80</v>
      </c>
      <c r="H933" s="20">
        <f>InputData[[#This Row],[Transacted Units]]*InputData[[#This Row],[Transacted Price (per unit)]]</f>
        <v>2657.3670000000002</v>
      </c>
      <c r="I933" s="14"/>
    </row>
    <row r="934" spans="1:9" ht="15.75" customHeight="1" x14ac:dyDescent="0.25">
      <c r="A934" s="16" t="s">
        <v>39</v>
      </c>
      <c r="B934" s="21">
        <v>44498</v>
      </c>
      <c r="C934" s="16" t="s">
        <v>5</v>
      </c>
      <c r="D934" s="17">
        <v>379</v>
      </c>
      <c r="E934" s="18">
        <v>1.4297</v>
      </c>
      <c r="F934" s="18">
        <v>0.54185629999999996</v>
      </c>
      <c r="G934" s="16" t="s">
        <v>80</v>
      </c>
      <c r="H934" s="20">
        <f>InputData[[#This Row],[Transacted Units]]*InputData[[#This Row],[Transacted Price (per unit)]]</f>
        <v>541.85630000000003</v>
      </c>
      <c r="I934" s="14"/>
    </row>
    <row r="935" spans="1:9" ht="15.75" customHeight="1" x14ac:dyDescent="0.25">
      <c r="A935" s="16" t="s">
        <v>39</v>
      </c>
      <c r="B935" s="21">
        <v>44498</v>
      </c>
      <c r="C935" s="16" t="s">
        <v>5</v>
      </c>
      <c r="D935" s="17">
        <v>505</v>
      </c>
      <c r="E935" s="18">
        <v>1.4307000000000001</v>
      </c>
      <c r="F935" s="18">
        <v>0.72250349999999997</v>
      </c>
      <c r="G935" s="16" t="s">
        <v>80</v>
      </c>
      <c r="H935" s="20">
        <f>InputData[[#This Row],[Transacted Units]]*InputData[[#This Row],[Transacted Price (per unit)]]</f>
        <v>722.50350000000003</v>
      </c>
      <c r="I935" s="14"/>
    </row>
    <row r="936" spans="1:9" ht="15.75" customHeight="1" x14ac:dyDescent="0.25">
      <c r="A936" s="16" t="s">
        <v>39</v>
      </c>
      <c r="B936" s="21">
        <v>44498</v>
      </c>
      <c r="C936" s="16" t="s">
        <v>5</v>
      </c>
      <c r="D936" s="17">
        <v>1226</v>
      </c>
      <c r="E936" s="18">
        <v>1.4309000000000001</v>
      </c>
      <c r="F936" s="18">
        <v>1.7542834</v>
      </c>
      <c r="G936" s="16" t="s">
        <v>80</v>
      </c>
      <c r="H936" s="20">
        <f>InputData[[#This Row],[Transacted Units]]*InputData[[#This Row],[Transacted Price (per unit)]]</f>
        <v>1754.2834</v>
      </c>
      <c r="I936" s="14"/>
    </row>
    <row r="937" spans="1:9" ht="15.75" customHeight="1" x14ac:dyDescent="0.25">
      <c r="A937" s="16" t="s">
        <v>39</v>
      </c>
      <c r="B937" s="21">
        <v>44495</v>
      </c>
      <c r="C937" s="16" t="s">
        <v>5</v>
      </c>
      <c r="D937" s="17">
        <v>32</v>
      </c>
      <c r="E937" s="18">
        <v>1.5363</v>
      </c>
      <c r="F937" s="18">
        <v>4.91616E-2</v>
      </c>
      <c r="G937" s="16" t="s">
        <v>80</v>
      </c>
      <c r="H937" s="20">
        <f>InputData[[#This Row],[Transacted Units]]*InputData[[#This Row],[Transacted Price (per unit)]]</f>
        <v>49.1616</v>
      </c>
      <c r="I937" s="14"/>
    </row>
    <row r="938" spans="1:9" ht="15.75" customHeight="1" x14ac:dyDescent="0.25">
      <c r="A938" s="16" t="s">
        <v>39</v>
      </c>
      <c r="B938" s="21">
        <v>44495</v>
      </c>
      <c r="C938" s="16" t="s">
        <v>5</v>
      </c>
      <c r="D938" s="17">
        <v>192</v>
      </c>
      <c r="E938" s="18">
        <v>1.5128999999999999</v>
      </c>
      <c r="F938" s="18">
        <v>0.29047679999999998</v>
      </c>
      <c r="G938" s="16" t="s">
        <v>80</v>
      </c>
      <c r="H938" s="20">
        <f>InputData[[#This Row],[Transacted Units]]*InputData[[#This Row],[Transacted Price (per unit)]]</f>
        <v>290.47679999999997</v>
      </c>
      <c r="I938" s="14"/>
    </row>
    <row r="939" spans="1:9" ht="15.75" customHeight="1" x14ac:dyDescent="0.25">
      <c r="A939" s="16" t="s">
        <v>39</v>
      </c>
      <c r="B939" s="21">
        <v>44495</v>
      </c>
      <c r="C939" s="16" t="s">
        <v>5</v>
      </c>
      <c r="D939" s="17">
        <v>510</v>
      </c>
      <c r="E939" s="18">
        <v>1.4961</v>
      </c>
      <c r="F939" s="18">
        <v>0.76301099999999999</v>
      </c>
      <c r="G939" s="16" t="s">
        <v>80</v>
      </c>
      <c r="H939" s="20">
        <f>InputData[[#This Row],[Transacted Units]]*InputData[[#This Row],[Transacted Price (per unit)]]</f>
        <v>763.01099999999997</v>
      </c>
      <c r="I939" s="14"/>
    </row>
    <row r="940" spans="1:9" ht="15.75" customHeight="1" x14ac:dyDescent="0.25">
      <c r="A940" s="16" t="s">
        <v>39</v>
      </c>
      <c r="B940" s="21">
        <v>44442</v>
      </c>
      <c r="C940" s="16" t="s">
        <v>5</v>
      </c>
      <c r="D940" s="17">
        <v>517</v>
      </c>
      <c r="E940" s="18">
        <v>1.7242</v>
      </c>
      <c r="F940" s="18">
        <v>0.89141139999999996</v>
      </c>
      <c r="G940" s="16" t="s">
        <v>80</v>
      </c>
      <c r="H940" s="20">
        <f>InputData[[#This Row],[Transacted Units]]*InputData[[#This Row],[Transacted Price (per unit)]]</f>
        <v>891.41139999999996</v>
      </c>
      <c r="I940" s="14"/>
    </row>
    <row r="941" spans="1:9" ht="15.75" customHeight="1" x14ac:dyDescent="0.25">
      <c r="A941" s="16" t="s">
        <v>39</v>
      </c>
      <c r="B941" s="21">
        <v>44441</v>
      </c>
      <c r="C941" s="16" t="s">
        <v>5</v>
      </c>
      <c r="D941" s="17">
        <v>188</v>
      </c>
      <c r="E941" s="18">
        <v>1.7384999999999999</v>
      </c>
      <c r="F941" s="18">
        <v>0.32683800000000002</v>
      </c>
      <c r="G941" s="16" t="s">
        <v>80</v>
      </c>
      <c r="H941" s="20">
        <f>InputData[[#This Row],[Transacted Units]]*InputData[[#This Row],[Transacted Price (per unit)]]</f>
        <v>326.83799999999997</v>
      </c>
      <c r="I941" s="14"/>
    </row>
    <row r="942" spans="1:9" ht="15.75" customHeight="1" x14ac:dyDescent="0.25">
      <c r="A942" s="16" t="s">
        <v>39</v>
      </c>
      <c r="B942" s="21">
        <v>44441</v>
      </c>
      <c r="C942" s="16" t="s">
        <v>5</v>
      </c>
      <c r="D942" s="17">
        <v>102</v>
      </c>
      <c r="E942" s="18">
        <v>1.7179</v>
      </c>
      <c r="F942" s="18">
        <v>0.17522579999999999</v>
      </c>
      <c r="G942" s="16" t="s">
        <v>80</v>
      </c>
      <c r="H942" s="20">
        <f>InputData[[#This Row],[Transacted Units]]*InputData[[#This Row],[Transacted Price (per unit)]]</f>
        <v>175.22579999999999</v>
      </c>
      <c r="I942" s="14"/>
    </row>
    <row r="943" spans="1:9" ht="15.75" customHeight="1" x14ac:dyDescent="0.25">
      <c r="A943" s="16" t="s">
        <v>39</v>
      </c>
      <c r="B943" s="21">
        <v>44441</v>
      </c>
      <c r="C943" s="16" t="s">
        <v>5</v>
      </c>
      <c r="D943" s="17">
        <v>329</v>
      </c>
      <c r="E943" s="18">
        <v>1.6791</v>
      </c>
      <c r="F943" s="18">
        <v>0.55242389999999997</v>
      </c>
      <c r="G943" s="16" t="s">
        <v>80</v>
      </c>
      <c r="H943" s="20">
        <f>InputData[[#This Row],[Transacted Units]]*InputData[[#This Row],[Transacted Price (per unit)]]</f>
        <v>552.4239</v>
      </c>
      <c r="I943" s="14"/>
    </row>
    <row r="944" spans="1:9" ht="15.75" customHeight="1" x14ac:dyDescent="0.25">
      <c r="A944" s="16" t="s">
        <v>39</v>
      </c>
      <c r="B944" s="21">
        <v>44440</v>
      </c>
      <c r="C944" s="16" t="s">
        <v>5</v>
      </c>
      <c r="D944" s="17">
        <v>540</v>
      </c>
      <c r="E944" s="18">
        <v>1.6495</v>
      </c>
      <c r="F944" s="18">
        <v>0.89073000000000002</v>
      </c>
      <c r="G944" s="16" t="s">
        <v>80</v>
      </c>
      <c r="H944" s="20">
        <f>InputData[[#This Row],[Transacted Units]]*InputData[[#This Row],[Transacted Price (per unit)]]</f>
        <v>890.73</v>
      </c>
      <c r="I944" s="14"/>
    </row>
    <row r="945" spans="1:9" ht="15.75" customHeight="1" x14ac:dyDescent="0.25">
      <c r="A945" s="16" t="s">
        <v>39</v>
      </c>
      <c r="B945" s="21">
        <v>44439</v>
      </c>
      <c r="C945" s="16" t="s">
        <v>5</v>
      </c>
      <c r="D945" s="17">
        <v>844</v>
      </c>
      <c r="E945" s="18">
        <v>1.6731</v>
      </c>
      <c r="F945" s="18">
        <v>1.4120964</v>
      </c>
      <c r="G945" s="16" t="s">
        <v>80</v>
      </c>
      <c r="H945" s="20">
        <f>InputData[[#This Row],[Transacted Units]]*InputData[[#This Row],[Transacted Price (per unit)]]</f>
        <v>1412.0964000000001</v>
      </c>
      <c r="I945" s="14"/>
    </row>
    <row r="946" spans="1:9" ht="15.75" customHeight="1" x14ac:dyDescent="0.25">
      <c r="A946" s="16" t="s">
        <v>39</v>
      </c>
      <c r="B946" s="21">
        <v>44431</v>
      </c>
      <c r="C946" s="16" t="s">
        <v>5</v>
      </c>
      <c r="D946" s="17">
        <v>256.48</v>
      </c>
      <c r="E946" s="18">
        <v>1.7834000000000001</v>
      </c>
      <c r="F946" s="18">
        <v>0.45740642999999997</v>
      </c>
      <c r="G946" s="16" t="s">
        <v>80</v>
      </c>
      <c r="H946" s="20">
        <f>InputData[[#This Row],[Transacted Units]]*InputData[[#This Row],[Transacted Price (per unit)]]</f>
        <v>457.40643200000005</v>
      </c>
      <c r="I946" s="14"/>
    </row>
    <row r="947" spans="1:9" ht="15.75" customHeight="1" x14ac:dyDescent="0.25">
      <c r="A947" s="16" t="s">
        <v>39</v>
      </c>
      <c r="B947" s="21">
        <v>44428</v>
      </c>
      <c r="C947" s="16" t="s">
        <v>5</v>
      </c>
      <c r="D947" s="17">
        <v>56.86</v>
      </c>
      <c r="E947" s="18">
        <v>1.7618</v>
      </c>
      <c r="F947" s="18">
        <v>0.10017595</v>
      </c>
      <c r="G947" s="16" t="s">
        <v>80</v>
      </c>
      <c r="H947" s="20">
        <f>InputData[[#This Row],[Transacted Units]]*InputData[[#This Row],[Transacted Price (per unit)]]</f>
        <v>100.17594800000001</v>
      </c>
      <c r="I947" s="14"/>
    </row>
    <row r="948" spans="1:9" ht="15.75" customHeight="1" x14ac:dyDescent="0.25">
      <c r="A948" s="16" t="s">
        <v>39</v>
      </c>
      <c r="B948" s="21">
        <v>44428</v>
      </c>
      <c r="C948" s="16" t="s">
        <v>5</v>
      </c>
      <c r="D948" s="17">
        <v>629.29</v>
      </c>
      <c r="E948" s="18">
        <v>1.7309000000000001</v>
      </c>
      <c r="F948" s="18">
        <v>1.08923806</v>
      </c>
      <c r="G948" s="16" t="s">
        <v>80</v>
      </c>
      <c r="H948" s="20">
        <f>InputData[[#This Row],[Transacted Units]]*InputData[[#This Row],[Transacted Price (per unit)]]</f>
        <v>1089.238061</v>
      </c>
      <c r="I948" s="14"/>
    </row>
    <row r="949" spans="1:9" ht="15.75" customHeight="1" x14ac:dyDescent="0.25">
      <c r="A949" s="16" t="s">
        <v>39</v>
      </c>
      <c r="B949" s="21">
        <v>44424</v>
      </c>
      <c r="C949" s="16" t="s">
        <v>5</v>
      </c>
      <c r="D949" s="17">
        <v>160.6</v>
      </c>
      <c r="E949" s="18">
        <v>1.7904</v>
      </c>
      <c r="F949" s="18">
        <v>0.28753824</v>
      </c>
      <c r="G949" s="16" t="s">
        <v>80</v>
      </c>
      <c r="H949" s="20">
        <f>InputData[[#This Row],[Transacted Units]]*InputData[[#This Row],[Transacted Price (per unit)]]</f>
        <v>287.53823999999997</v>
      </c>
      <c r="I949" s="14"/>
    </row>
    <row r="950" spans="1:9" ht="15.75" customHeight="1" x14ac:dyDescent="0.25">
      <c r="A950" s="16" t="s">
        <v>39</v>
      </c>
      <c r="B950" s="21">
        <v>44423</v>
      </c>
      <c r="C950" s="16" t="s">
        <v>5</v>
      </c>
      <c r="D950" s="17">
        <v>257.04000000000002</v>
      </c>
      <c r="E950" s="18">
        <v>1.7756000000000001</v>
      </c>
      <c r="F950" s="18">
        <v>0.45640022000000002</v>
      </c>
      <c r="G950" s="16" t="s">
        <v>80</v>
      </c>
      <c r="H950" s="20">
        <f>InputData[[#This Row],[Transacted Units]]*InputData[[#This Row],[Transacted Price (per unit)]]</f>
        <v>456.40022400000004</v>
      </c>
      <c r="I950" s="14"/>
    </row>
    <row r="951" spans="1:9" ht="15.75" customHeight="1" x14ac:dyDescent="0.25">
      <c r="A951" s="16" t="s">
        <v>39</v>
      </c>
      <c r="B951" s="21">
        <v>44423</v>
      </c>
      <c r="C951" s="16" t="s">
        <v>5</v>
      </c>
      <c r="D951" s="17">
        <v>400.73</v>
      </c>
      <c r="E951" s="18">
        <v>1.77</v>
      </c>
      <c r="F951" s="18">
        <v>0.70929209999999998</v>
      </c>
      <c r="G951" s="16" t="s">
        <v>80</v>
      </c>
      <c r="H951" s="20">
        <f>InputData[[#This Row],[Transacted Units]]*InputData[[#This Row],[Transacted Price (per unit)]]</f>
        <v>709.2921</v>
      </c>
      <c r="I951" s="14"/>
    </row>
    <row r="952" spans="1:9" ht="15.75" customHeight="1" x14ac:dyDescent="0.25">
      <c r="A952" s="16" t="s">
        <v>39</v>
      </c>
      <c r="B952" s="21">
        <v>44423</v>
      </c>
      <c r="C952" s="16" t="s">
        <v>5</v>
      </c>
      <c r="D952" s="17">
        <v>250.55</v>
      </c>
      <c r="E952" s="18">
        <v>1.8189</v>
      </c>
      <c r="F952" s="18">
        <v>0.4557254</v>
      </c>
      <c r="G952" s="16" t="s">
        <v>80</v>
      </c>
      <c r="H952" s="20">
        <f>InputData[[#This Row],[Transacted Units]]*InputData[[#This Row],[Transacted Price (per unit)]]</f>
        <v>455.72539499999999</v>
      </c>
      <c r="I952" s="14"/>
    </row>
    <row r="953" spans="1:9" ht="15.75" customHeight="1" x14ac:dyDescent="0.25">
      <c r="A953" s="16" t="s">
        <v>39</v>
      </c>
      <c r="B953" s="21">
        <v>44423</v>
      </c>
      <c r="C953" s="16" t="s">
        <v>5</v>
      </c>
      <c r="D953" s="17">
        <v>54.46</v>
      </c>
      <c r="E953" s="18">
        <v>1.8359000000000001</v>
      </c>
      <c r="F953" s="18">
        <v>9.998311E-2</v>
      </c>
      <c r="G953" s="16" t="s">
        <v>80</v>
      </c>
      <c r="H953" s="20">
        <f>InputData[[#This Row],[Transacted Units]]*InputData[[#This Row],[Transacted Price (per unit)]]</f>
        <v>99.983114</v>
      </c>
      <c r="I953" s="14"/>
    </row>
    <row r="954" spans="1:9" ht="15.75" customHeight="1" x14ac:dyDescent="0.25">
      <c r="A954" s="16" t="s">
        <v>39</v>
      </c>
      <c r="B954" s="21">
        <v>44423</v>
      </c>
      <c r="C954" s="16" t="s">
        <v>5</v>
      </c>
      <c r="D954" s="17">
        <v>96.98</v>
      </c>
      <c r="E954" s="18">
        <v>1.8057000000000001</v>
      </c>
      <c r="F954" s="18">
        <v>0.17511678999999999</v>
      </c>
      <c r="G954" s="16" t="s">
        <v>80</v>
      </c>
      <c r="H954" s="20">
        <f>InputData[[#This Row],[Transacted Units]]*InputData[[#This Row],[Transacted Price (per unit)]]</f>
        <v>175.11678600000002</v>
      </c>
      <c r="I954" s="14"/>
    </row>
    <row r="955" spans="1:9" ht="15.75" customHeight="1" x14ac:dyDescent="0.25">
      <c r="A955" s="16" t="s">
        <v>39</v>
      </c>
      <c r="B955" s="21">
        <v>44423</v>
      </c>
      <c r="C955" s="16" t="s">
        <v>5</v>
      </c>
      <c r="D955" s="17">
        <v>160.59</v>
      </c>
      <c r="E955" s="18">
        <v>1.7905</v>
      </c>
      <c r="F955" s="18">
        <v>0.28753640000000003</v>
      </c>
      <c r="G955" s="16" t="s">
        <v>80</v>
      </c>
      <c r="H955" s="20">
        <f>InputData[[#This Row],[Transacted Units]]*InputData[[#This Row],[Transacted Price (per unit)]]</f>
        <v>287.53639500000003</v>
      </c>
      <c r="I955" s="14"/>
    </row>
    <row r="956" spans="1:9" ht="15.75" customHeight="1" x14ac:dyDescent="0.25">
      <c r="A956" s="16" t="s">
        <v>39</v>
      </c>
      <c r="B956" s="21">
        <v>44422</v>
      </c>
      <c r="C956" s="16" t="s">
        <v>5</v>
      </c>
      <c r="D956" s="17">
        <v>56.36</v>
      </c>
      <c r="E956" s="18">
        <v>1.7744</v>
      </c>
      <c r="F956" s="18">
        <v>0.10000518</v>
      </c>
      <c r="G956" s="16" t="s">
        <v>80</v>
      </c>
      <c r="H956" s="20">
        <f>InputData[[#This Row],[Transacted Units]]*InputData[[#This Row],[Transacted Price (per unit)]]</f>
        <v>100.005184</v>
      </c>
      <c r="I956" s="14"/>
    </row>
    <row r="957" spans="1:9" ht="15.75" customHeight="1" x14ac:dyDescent="0.25">
      <c r="A957" s="16" t="s">
        <v>39</v>
      </c>
      <c r="B957" s="21">
        <v>44422</v>
      </c>
      <c r="C957" s="16" t="s">
        <v>5</v>
      </c>
      <c r="D957" s="17">
        <v>100.27</v>
      </c>
      <c r="E957" s="18">
        <v>1.7458</v>
      </c>
      <c r="F957" s="18">
        <v>0.17505137000000001</v>
      </c>
      <c r="G957" s="16" t="s">
        <v>80</v>
      </c>
      <c r="H957" s="20">
        <f>InputData[[#This Row],[Transacted Units]]*InputData[[#This Row],[Transacted Price (per unit)]]</f>
        <v>175.051366</v>
      </c>
      <c r="I957" s="14"/>
    </row>
    <row r="958" spans="1:9" ht="15.75" customHeight="1" x14ac:dyDescent="0.25">
      <c r="A958" s="16" t="s">
        <v>39</v>
      </c>
      <c r="B958" s="21">
        <v>44422</v>
      </c>
      <c r="C958" s="16" t="s">
        <v>5</v>
      </c>
      <c r="D958" s="17">
        <v>58.15</v>
      </c>
      <c r="E958" s="18">
        <v>1.7234</v>
      </c>
      <c r="F958" s="18">
        <v>0.10021571</v>
      </c>
      <c r="G958" s="16" t="s">
        <v>80</v>
      </c>
      <c r="H958" s="20">
        <f>InputData[[#This Row],[Transacted Units]]*InputData[[#This Row],[Transacted Price (per unit)]]</f>
        <v>100.21571</v>
      </c>
      <c r="I958" s="14"/>
    </row>
    <row r="959" spans="1:9" ht="15.75" customHeight="1" x14ac:dyDescent="0.25">
      <c r="A959" s="16" t="s">
        <v>39</v>
      </c>
      <c r="B959" s="21">
        <v>44422</v>
      </c>
      <c r="C959" s="16" t="s">
        <v>5</v>
      </c>
      <c r="D959" s="17">
        <v>268.88</v>
      </c>
      <c r="E959" s="18">
        <v>1.6955</v>
      </c>
      <c r="F959" s="18">
        <v>0.45588603999999999</v>
      </c>
      <c r="G959" s="16" t="s">
        <v>80</v>
      </c>
      <c r="H959" s="20">
        <f>InputData[[#This Row],[Transacted Units]]*InputData[[#This Row],[Transacted Price (per unit)]]</f>
        <v>455.88603999999998</v>
      </c>
      <c r="I959" s="14"/>
    </row>
    <row r="960" spans="1:9" ht="15.75" customHeight="1" x14ac:dyDescent="0.25">
      <c r="A960" s="16" t="s">
        <v>39</v>
      </c>
      <c r="B960" s="21">
        <v>44422</v>
      </c>
      <c r="C960" s="16" t="s">
        <v>5</v>
      </c>
      <c r="D960" s="17">
        <v>29.37</v>
      </c>
      <c r="E960" s="18">
        <v>1.7035</v>
      </c>
      <c r="F960" s="18">
        <v>5.0031800000000001E-2</v>
      </c>
      <c r="G960" s="16" t="s">
        <v>80</v>
      </c>
      <c r="H960" s="20">
        <f>InputData[[#This Row],[Transacted Units]]*InputData[[#This Row],[Transacted Price (per unit)]]</f>
        <v>50.031795000000002</v>
      </c>
      <c r="I960" s="14"/>
    </row>
    <row r="961" spans="1:9" ht="15.75" customHeight="1" x14ac:dyDescent="0.25">
      <c r="A961" s="16" t="s">
        <v>39</v>
      </c>
      <c r="B961" s="21">
        <v>44422</v>
      </c>
      <c r="C961" s="16" t="s">
        <v>5</v>
      </c>
      <c r="D961" s="17">
        <v>171.63</v>
      </c>
      <c r="E961" s="18">
        <v>1.6762999999999999</v>
      </c>
      <c r="F961" s="18">
        <v>0.28770337000000001</v>
      </c>
      <c r="G961" s="16" t="s">
        <v>80</v>
      </c>
      <c r="H961" s="20">
        <f>InputData[[#This Row],[Transacted Units]]*InputData[[#This Row],[Transacted Price (per unit)]]</f>
        <v>287.70336899999995</v>
      </c>
      <c r="I961" s="14"/>
    </row>
    <row r="962" spans="1:9" ht="15.75" customHeight="1" x14ac:dyDescent="0.25">
      <c r="A962" s="16" t="s">
        <v>39</v>
      </c>
      <c r="B962" s="21">
        <v>44422</v>
      </c>
      <c r="C962" s="16" t="s">
        <v>5</v>
      </c>
      <c r="D962" s="17">
        <v>59.92</v>
      </c>
      <c r="E962" s="18">
        <v>1.6688000000000001</v>
      </c>
      <c r="F962" s="18">
        <v>9.99945E-2</v>
      </c>
      <c r="G962" s="16" t="s">
        <v>80</v>
      </c>
      <c r="H962" s="20">
        <f>InputData[[#This Row],[Transacted Units]]*InputData[[#This Row],[Transacted Price (per unit)]]</f>
        <v>99.994496000000012</v>
      </c>
      <c r="I962" s="14"/>
    </row>
    <row r="963" spans="1:9" ht="15.75" customHeight="1" x14ac:dyDescent="0.25">
      <c r="A963" s="16" t="s">
        <v>39</v>
      </c>
      <c r="B963" s="21">
        <v>44422</v>
      </c>
      <c r="C963" s="16" t="s">
        <v>5</v>
      </c>
      <c r="D963" s="17">
        <v>60.58</v>
      </c>
      <c r="E963" s="18">
        <v>1.6505000000000001</v>
      </c>
      <c r="F963" s="18">
        <v>9.9987290000000006E-2</v>
      </c>
      <c r="G963" s="16" t="s">
        <v>80</v>
      </c>
      <c r="H963" s="20">
        <f>InputData[[#This Row],[Transacted Units]]*InputData[[#This Row],[Transacted Price (per unit)]]</f>
        <v>99.987290000000002</v>
      </c>
      <c r="I963" s="14"/>
    </row>
    <row r="964" spans="1:9" ht="15.75" customHeight="1" x14ac:dyDescent="0.25">
      <c r="A964" s="16" t="s">
        <v>39</v>
      </c>
      <c r="B964" s="21">
        <v>44422</v>
      </c>
      <c r="C964" s="16" t="s">
        <v>5</v>
      </c>
      <c r="D964" s="17">
        <v>30.76</v>
      </c>
      <c r="E964" s="18">
        <v>1.6255999999999999</v>
      </c>
      <c r="F964" s="18">
        <v>5.000346E-2</v>
      </c>
      <c r="G964" s="16" t="s">
        <v>80</v>
      </c>
      <c r="H964" s="20">
        <f>InputData[[#This Row],[Transacted Units]]*InputData[[#This Row],[Transacted Price (per unit)]]</f>
        <v>50.003456</v>
      </c>
      <c r="I964" s="14"/>
    </row>
    <row r="965" spans="1:9" ht="15.75" customHeight="1" x14ac:dyDescent="0.25">
      <c r="A965" s="16" t="s">
        <v>39</v>
      </c>
      <c r="B965" s="21">
        <v>44422</v>
      </c>
      <c r="C965" s="16" t="s">
        <v>5</v>
      </c>
      <c r="D965" s="17">
        <v>171.19</v>
      </c>
      <c r="E965" s="18">
        <v>1.5992</v>
      </c>
      <c r="F965" s="18">
        <v>0.27376705000000001</v>
      </c>
      <c r="G965" s="16" t="s">
        <v>80</v>
      </c>
      <c r="H965" s="20">
        <f>InputData[[#This Row],[Transacted Units]]*InputData[[#This Row],[Transacted Price (per unit)]]</f>
        <v>273.76704799999999</v>
      </c>
      <c r="I965" s="14"/>
    </row>
    <row r="966" spans="1:9" ht="15.75" customHeight="1" x14ac:dyDescent="0.25">
      <c r="A966" s="16" t="s">
        <v>39</v>
      </c>
      <c r="B966" s="21">
        <v>44422</v>
      </c>
      <c r="C966" s="16" t="s">
        <v>5</v>
      </c>
      <c r="D966" s="17">
        <v>18.579999999999998</v>
      </c>
      <c r="E966" s="18">
        <v>1.6165</v>
      </c>
      <c r="F966" s="18">
        <v>3.003457E-2</v>
      </c>
      <c r="G966" s="16" t="s">
        <v>80</v>
      </c>
      <c r="H966" s="20">
        <f>InputData[[#This Row],[Transacted Units]]*InputData[[#This Row],[Transacted Price (per unit)]]</f>
        <v>30.034569999999999</v>
      </c>
      <c r="I966" s="14"/>
    </row>
    <row r="967" spans="1:9" ht="15.75" customHeight="1" x14ac:dyDescent="0.25">
      <c r="A967" s="16" t="s">
        <v>39</v>
      </c>
      <c r="B967" s="21">
        <v>44422</v>
      </c>
      <c r="C967" s="16" t="s">
        <v>5</v>
      </c>
      <c r="D967" s="17">
        <v>18.850000000000001</v>
      </c>
      <c r="E967" s="18">
        <v>1.5940000000000001</v>
      </c>
      <c r="F967" s="18">
        <v>3.0046900000000001E-2</v>
      </c>
      <c r="G967" s="16" t="s">
        <v>80</v>
      </c>
      <c r="H967" s="20">
        <f>InputData[[#This Row],[Transacted Units]]*InputData[[#This Row],[Transacted Price (per unit)]]</f>
        <v>30.046900000000004</v>
      </c>
      <c r="I967" s="14"/>
    </row>
    <row r="968" spans="1:9" ht="15.75" customHeight="1" x14ac:dyDescent="0.25">
      <c r="A968" s="16" t="s">
        <v>39</v>
      </c>
      <c r="B968" s="21">
        <v>44422</v>
      </c>
      <c r="C968" s="16" t="s">
        <v>5</v>
      </c>
      <c r="D968" s="17">
        <v>66.89</v>
      </c>
      <c r="E968" s="18">
        <v>1.5702</v>
      </c>
      <c r="F968" s="18">
        <v>0.10503068</v>
      </c>
      <c r="G968" s="16" t="s">
        <v>80</v>
      </c>
      <c r="H968" s="20">
        <f>InputData[[#This Row],[Transacted Units]]*InputData[[#This Row],[Transacted Price (per unit)]]</f>
        <v>105.03067800000001</v>
      </c>
      <c r="I968" s="14"/>
    </row>
    <row r="969" spans="1:9" ht="15.75" customHeight="1" x14ac:dyDescent="0.25">
      <c r="A969" s="16" t="s">
        <v>39</v>
      </c>
      <c r="B969" s="21">
        <v>44422</v>
      </c>
      <c r="C969" s="16" t="s">
        <v>5</v>
      </c>
      <c r="D969" s="17">
        <v>38.520000000000003</v>
      </c>
      <c r="E969" s="18">
        <v>1.5580000000000001</v>
      </c>
      <c r="F969" s="18">
        <v>6.0014159999999997E-2</v>
      </c>
      <c r="G969" s="16" t="s">
        <v>80</v>
      </c>
      <c r="H969" s="20">
        <f>InputData[[#This Row],[Transacted Units]]*InputData[[#This Row],[Transacted Price (per unit)]]</f>
        <v>60.014160000000004</v>
      </c>
      <c r="I969" s="14"/>
    </row>
    <row r="970" spans="1:9" ht="15.75" customHeight="1" x14ac:dyDescent="0.25">
      <c r="A970" s="16" t="s">
        <v>39</v>
      </c>
      <c r="B970" s="21">
        <v>44422</v>
      </c>
      <c r="C970" s="16" t="s">
        <v>5</v>
      </c>
      <c r="D970" s="17">
        <v>19.61</v>
      </c>
      <c r="E970" s="18">
        <v>1.5364</v>
      </c>
      <c r="F970" s="18">
        <v>3.0128800000000001E-2</v>
      </c>
      <c r="G970" s="16" t="s">
        <v>80</v>
      </c>
      <c r="H970" s="20">
        <f>InputData[[#This Row],[Transacted Units]]*InputData[[#This Row],[Transacted Price (per unit)]]</f>
        <v>30.128803999999999</v>
      </c>
      <c r="I970" s="14"/>
    </row>
    <row r="971" spans="1:9" ht="15.75" customHeight="1" x14ac:dyDescent="0.25">
      <c r="A971" s="16" t="s">
        <v>39</v>
      </c>
      <c r="B971" s="21">
        <v>44422</v>
      </c>
      <c r="C971" s="16" t="s">
        <v>5</v>
      </c>
      <c r="D971" s="17">
        <v>19.809999999999999</v>
      </c>
      <c r="E971" s="18">
        <v>1.5132000000000001</v>
      </c>
      <c r="F971" s="18">
        <v>2.9976490000000001E-2</v>
      </c>
      <c r="G971" s="16" t="s">
        <v>80</v>
      </c>
      <c r="H971" s="20">
        <f>InputData[[#This Row],[Transacted Units]]*InputData[[#This Row],[Transacted Price (per unit)]]</f>
        <v>29.976492</v>
      </c>
      <c r="I971" s="14"/>
    </row>
    <row r="972" spans="1:9" ht="15.75" customHeight="1" x14ac:dyDescent="0.25">
      <c r="A972" s="16" t="s">
        <v>39</v>
      </c>
      <c r="B972" s="21">
        <v>44422</v>
      </c>
      <c r="C972" s="16" t="s">
        <v>5</v>
      </c>
      <c r="D972" s="17">
        <v>115.17</v>
      </c>
      <c r="E972" s="18">
        <v>1.4978</v>
      </c>
      <c r="F972" s="18">
        <v>0.17250162999999999</v>
      </c>
      <c r="G972" s="16" t="s">
        <v>80</v>
      </c>
      <c r="H972" s="20">
        <f>InputData[[#This Row],[Transacted Units]]*InputData[[#This Row],[Transacted Price (per unit)]]</f>
        <v>172.50162600000002</v>
      </c>
      <c r="I972" s="14"/>
    </row>
    <row r="973" spans="1:9" ht="15.75" customHeight="1" x14ac:dyDescent="0.25">
      <c r="A973" s="16" t="s">
        <v>39</v>
      </c>
      <c r="B973" s="21">
        <v>44422</v>
      </c>
      <c r="C973" s="16" t="s">
        <v>5</v>
      </c>
      <c r="D973" s="17">
        <v>40.03</v>
      </c>
      <c r="E973" s="18">
        <v>1.4988999999999999</v>
      </c>
      <c r="F973" s="18">
        <v>6.0000970000000001E-2</v>
      </c>
      <c r="G973" s="16" t="s">
        <v>80</v>
      </c>
      <c r="H973" s="20">
        <f>InputData[[#This Row],[Transacted Units]]*InputData[[#This Row],[Transacted Price (per unit)]]</f>
        <v>60.000966999999996</v>
      </c>
      <c r="I973" s="14"/>
    </row>
    <row r="974" spans="1:9" ht="15.75" customHeight="1" x14ac:dyDescent="0.25">
      <c r="A974" s="16" t="s">
        <v>39</v>
      </c>
      <c r="B974" s="21">
        <v>44421</v>
      </c>
      <c r="C974" s="16" t="s">
        <v>5</v>
      </c>
      <c r="D974" s="17">
        <v>40.54</v>
      </c>
      <c r="E974" s="18">
        <v>1.4797</v>
      </c>
      <c r="F974" s="18">
        <v>5.9987039999999998E-2</v>
      </c>
      <c r="G974" s="16" t="s">
        <v>80</v>
      </c>
      <c r="H974" s="20">
        <f>InputData[[#This Row],[Transacted Units]]*InputData[[#This Row],[Transacted Price (per unit)]]</f>
        <v>59.987037999999998</v>
      </c>
      <c r="I974" s="14"/>
    </row>
    <row r="975" spans="1:9" ht="15.75" customHeight="1" x14ac:dyDescent="0.25">
      <c r="A975" s="16" t="s">
        <v>39</v>
      </c>
      <c r="B975" s="21">
        <v>44421</v>
      </c>
      <c r="C975" s="16" t="s">
        <v>5</v>
      </c>
      <c r="D975" s="17">
        <v>71.58</v>
      </c>
      <c r="E975" s="18">
        <v>1.4666999999999999</v>
      </c>
      <c r="F975" s="18">
        <v>0.10498639</v>
      </c>
      <c r="G975" s="16" t="s">
        <v>80</v>
      </c>
      <c r="H975" s="20">
        <f>InputData[[#This Row],[Transacted Units]]*InputData[[#This Row],[Transacted Price (per unit)]]</f>
        <v>104.986386</v>
      </c>
      <c r="I975" s="14"/>
    </row>
    <row r="976" spans="1:9" ht="15.75" customHeight="1" x14ac:dyDescent="0.25">
      <c r="A976" s="16" t="s">
        <v>39</v>
      </c>
      <c r="B976" s="21">
        <v>44421</v>
      </c>
      <c r="C976" s="16" t="s">
        <v>5</v>
      </c>
      <c r="D976" s="17">
        <v>118.42</v>
      </c>
      <c r="E976" s="18">
        <v>1.4568000000000001</v>
      </c>
      <c r="F976" s="18">
        <v>0.17251426</v>
      </c>
      <c r="G976" s="16" t="s">
        <v>80</v>
      </c>
      <c r="H976" s="20">
        <f>InputData[[#This Row],[Transacted Units]]*InputData[[#This Row],[Transacted Price (per unit)]]</f>
        <v>172.51425600000002</v>
      </c>
      <c r="I976" s="14"/>
    </row>
    <row r="977" spans="1:9" ht="15.75" customHeight="1" x14ac:dyDescent="0.25">
      <c r="A977" s="16" t="s">
        <v>39</v>
      </c>
      <c r="B977" s="21">
        <v>44421</v>
      </c>
      <c r="C977" s="16" t="s">
        <v>5</v>
      </c>
      <c r="D977" s="17">
        <v>72.430000000000007</v>
      </c>
      <c r="E977" s="18">
        <v>1.4478</v>
      </c>
      <c r="F977" s="18">
        <v>0.10486415</v>
      </c>
      <c r="G977" s="16" t="s">
        <v>80</v>
      </c>
      <c r="H977" s="20">
        <f>InputData[[#This Row],[Transacted Units]]*InputData[[#This Row],[Transacted Price (per unit)]]</f>
        <v>104.86415400000001</v>
      </c>
      <c r="I977" s="14"/>
    </row>
    <row r="978" spans="1:9" ht="15.75" customHeight="1" x14ac:dyDescent="0.25">
      <c r="A978" s="16" t="s">
        <v>39</v>
      </c>
      <c r="B978" s="21">
        <v>44421</v>
      </c>
      <c r="C978" s="16" t="s">
        <v>5</v>
      </c>
      <c r="D978" s="17">
        <v>190.84</v>
      </c>
      <c r="E978" s="18">
        <v>1.4343999999999999</v>
      </c>
      <c r="F978" s="18">
        <v>0.27374090000000001</v>
      </c>
      <c r="G978" s="16" t="s">
        <v>80</v>
      </c>
      <c r="H978" s="20">
        <f>InputData[[#This Row],[Transacted Units]]*InputData[[#This Row],[Transacted Price (per unit)]]</f>
        <v>273.74089599999996</v>
      </c>
      <c r="I978" s="14"/>
    </row>
    <row r="979" spans="1:9" ht="15.75" customHeight="1" x14ac:dyDescent="0.25">
      <c r="A979" s="16" t="s">
        <v>39</v>
      </c>
      <c r="B979" s="21">
        <v>44421</v>
      </c>
      <c r="C979" s="16" t="s">
        <v>5</v>
      </c>
      <c r="D979" s="17">
        <v>41.81</v>
      </c>
      <c r="E979" s="18">
        <v>1.4353</v>
      </c>
      <c r="F979" s="18">
        <v>6.0009890000000003E-2</v>
      </c>
      <c r="G979" s="16" t="s">
        <v>80</v>
      </c>
      <c r="H979" s="20">
        <f>InputData[[#This Row],[Transacted Units]]*InputData[[#This Row],[Transacted Price (per unit)]]</f>
        <v>60.009893000000005</v>
      </c>
      <c r="I979" s="14"/>
    </row>
    <row r="980" spans="1:9" ht="15.75" customHeight="1" x14ac:dyDescent="0.25">
      <c r="A980" s="16" t="s">
        <v>39</v>
      </c>
      <c r="B980" s="21">
        <v>44421</v>
      </c>
      <c r="C980" s="16" t="s">
        <v>5</v>
      </c>
      <c r="D980" s="17">
        <v>121.22</v>
      </c>
      <c r="E980" s="18">
        <v>1.4234</v>
      </c>
      <c r="F980" s="18">
        <v>0.17254454999999999</v>
      </c>
      <c r="G980" s="16" t="s">
        <v>80</v>
      </c>
      <c r="H980" s="20">
        <f>InputData[[#This Row],[Transacted Units]]*InputData[[#This Row],[Transacted Price (per unit)]]</f>
        <v>172.54454799999999</v>
      </c>
      <c r="I980" s="14"/>
    </row>
    <row r="981" spans="1:9" ht="15.75" customHeight="1" x14ac:dyDescent="0.25">
      <c r="A981" s="16" t="s">
        <v>39</v>
      </c>
      <c r="B981" s="21">
        <v>44421</v>
      </c>
      <c r="C981" s="16" t="s">
        <v>5</v>
      </c>
      <c r="D981" s="17">
        <v>42.23</v>
      </c>
      <c r="E981" s="18">
        <v>1.4202999999999999</v>
      </c>
      <c r="F981" s="18">
        <v>5.9979270000000001E-2</v>
      </c>
      <c r="G981" s="16" t="s">
        <v>80</v>
      </c>
      <c r="H981" s="20">
        <f>InputData[[#This Row],[Transacted Units]]*InputData[[#This Row],[Transacted Price (per unit)]]</f>
        <v>59.979268999999988</v>
      </c>
      <c r="I981" s="14"/>
    </row>
    <row r="982" spans="1:9" ht="15.75" customHeight="1" x14ac:dyDescent="0.25">
      <c r="A982" s="16" t="s">
        <v>39</v>
      </c>
      <c r="B982" s="21">
        <v>44421</v>
      </c>
      <c r="C982" s="16" t="s">
        <v>5</v>
      </c>
      <c r="D982" s="17">
        <v>303.83</v>
      </c>
      <c r="E982" s="18">
        <v>1.4014</v>
      </c>
      <c r="F982" s="18">
        <v>0.42578736</v>
      </c>
      <c r="G982" s="16" t="s">
        <v>80</v>
      </c>
      <c r="H982" s="20">
        <f>InputData[[#This Row],[Transacted Units]]*InputData[[#This Row],[Transacted Price (per unit)]]</f>
        <v>425.78736199999997</v>
      </c>
      <c r="I982" s="14"/>
    </row>
    <row r="983" spans="1:9" ht="15.75" customHeight="1" x14ac:dyDescent="0.25">
      <c r="A983" s="16" t="s">
        <v>39</v>
      </c>
      <c r="B983" s="21">
        <v>44419</v>
      </c>
      <c r="C983" s="16" t="s">
        <v>5</v>
      </c>
      <c r="D983" s="17">
        <v>41.7</v>
      </c>
      <c r="E983" s="18">
        <v>1.4414</v>
      </c>
      <c r="F983" s="18">
        <v>6.0106380000000001E-2</v>
      </c>
      <c r="G983" s="16" t="s">
        <v>80</v>
      </c>
      <c r="H983" s="20">
        <f>InputData[[#This Row],[Transacted Units]]*InputData[[#This Row],[Transacted Price (per unit)]]</f>
        <v>60.106380000000001</v>
      </c>
      <c r="I983" s="14"/>
    </row>
    <row r="984" spans="1:9" ht="15.75" customHeight="1" x14ac:dyDescent="0.25">
      <c r="A984" s="16" t="s">
        <v>39</v>
      </c>
      <c r="B984" s="21">
        <v>44419</v>
      </c>
      <c r="C984" s="16" t="s">
        <v>5</v>
      </c>
      <c r="D984" s="17">
        <v>42.17</v>
      </c>
      <c r="E984" s="18">
        <v>1.4200999999999999</v>
      </c>
      <c r="F984" s="18">
        <v>5.9885620000000001E-2</v>
      </c>
      <c r="G984" s="16" t="s">
        <v>80</v>
      </c>
      <c r="H984" s="20">
        <f>InputData[[#This Row],[Transacted Units]]*InputData[[#This Row],[Transacted Price (per unit)]]</f>
        <v>59.885616999999996</v>
      </c>
      <c r="I984" s="14"/>
    </row>
    <row r="985" spans="1:9" ht="15.75" customHeight="1" x14ac:dyDescent="0.25">
      <c r="A985" s="16" t="s">
        <v>39</v>
      </c>
      <c r="B985" s="21">
        <v>44419</v>
      </c>
      <c r="C985" s="16" t="s">
        <v>5</v>
      </c>
      <c r="D985" s="17">
        <v>43.11</v>
      </c>
      <c r="E985" s="18">
        <v>1.3966000000000001</v>
      </c>
      <c r="F985" s="18">
        <v>6.0207429999999999E-2</v>
      </c>
      <c r="G985" s="16" t="s">
        <v>80</v>
      </c>
      <c r="H985" s="20">
        <f>InputData[[#This Row],[Transacted Units]]*InputData[[#This Row],[Transacted Price (per unit)]]</f>
        <v>60.207426000000005</v>
      </c>
      <c r="I985" s="14"/>
    </row>
    <row r="986" spans="1:9" ht="15.75" customHeight="1" x14ac:dyDescent="0.25">
      <c r="A986" s="16" t="s">
        <v>39</v>
      </c>
      <c r="B986" s="21">
        <v>44419</v>
      </c>
      <c r="C986" s="16" t="s">
        <v>5</v>
      </c>
      <c r="D986" s="17">
        <v>21.94</v>
      </c>
      <c r="E986" s="18">
        <v>1.3749</v>
      </c>
      <c r="F986" s="18">
        <v>3.0165310000000001E-2</v>
      </c>
      <c r="G986" s="16" t="s">
        <v>80</v>
      </c>
      <c r="H986" s="20">
        <f>InputData[[#This Row],[Transacted Units]]*InputData[[#This Row],[Transacted Price (per unit)]]</f>
        <v>30.165306000000001</v>
      </c>
      <c r="I986" s="14"/>
    </row>
    <row r="987" spans="1:9" ht="15.75" customHeight="1" x14ac:dyDescent="0.25">
      <c r="A987" s="16" t="s">
        <v>39</v>
      </c>
      <c r="B987" s="21">
        <v>44419</v>
      </c>
      <c r="C987" s="16" t="s">
        <v>5</v>
      </c>
      <c r="D987" s="17">
        <v>78.2</v>
      </c>
      <c r="E987" s="18">
        <v>1.3426</v>
      </c>
      <c r="F987" s="18">
        <v>0.10499132</v>
      </c>
      <c r="G987" s="16" t="s">
        <v>80</v>
      </c>
      <c r="H987" s="20">
        <f>InputData[[#This Row],[Transacted Units]]*InputData[[#This Row],[Transacted Price (per unit)]]</f>
        <v>104.99132</v>
      </c>
      <c r="I987" s="14"/>
    </row>
    <row r="988" spans="1:9" ht="15.75" customHeight="1" x14ac:dyDescent="0.25">
      <c r="A988" s="16" t="s">
        <v>39</v>
      </c>
      <c r="B988" s="21">
        <v>44419</v>
      </c>
      <c r="C988" s="16" t="s">
        <v>5</v>
      </c>
      <c r="D988" s="17">
        <v>78.790000000000006</v>
      </c>
      <c r="E988" s="18">
        <v>1.3322000000000001</v>
      </c>
      <c r="F988" s="18">
        <v>0.10496403999999999</v>
      </c>
      <c r="G988" s="16" t="s">
        <v>80</v>
      </c>
      <c r="H988" s="20">
        <f>InputData[[#This Row],[Transacted Units]]*InputData[[#This Row],[Transacted Price (per unit)]]</f>
        <v>104.96403800000002</v>
      </c>
      <c r="I988" s="14"/>
    </row>
    <row r="989" spans="1:9" ht="15.75" customHeight="1" x14ac:dyDescent="0.25">
      <c r="A989" s="16" t="s">
        <v>39</v>
      </c>
      <c r="B989" s="21">
        <v>44419</v>
      </c>
      <c r="C989" s="16" t="s">
        <v>5</v>
      </c>
      <c r="D989" s="17">
        <v>45.29</v>
      </c>
      <c r="E989" s="18">
        <v>1.3254999999999999</v>
      </c>
      <c r="F989" s="18">
        <v>6.0031899999999999E-2</v>
      </c>
      <c r="G989" s="16" t="s">
        <v>80</v>
      </c>
      <c r="H989" s="20">
        <f>InputData[[#This Row],[Transacted Units]]*InputData[[#This Row],[Transacted Price (per unit)]]</f>
        <v>60.031894999999992</v>
      </c>
      <c r="I989" s="14"/>
    </row>
    <row r="990" spans="1:9" ht="15.75" customHeight="1" x14ac:dyDescent="0.25">
      <c r="A990" s="16" t="s">
        <v>39</v>
      </c>
      <c r="B990" s="21">
        <v>44419</v>
      </c>
      <c r="C990" s="16" t="s">
        <v>5</v>
      </c>
      <c r="D990" s="17">
        <v>22.86</v>
      </c>
      <c r="E990" s="18">
        <v>1.3121</v>
      </c>
      <c r="F990" s="18">
        <v>2.9994610000000001E-2</v>
      </c>
      <c r="G990" s="16" t="s">
        <v>80</v>
      </c>
      <c r="H990" s="20">
        <f>InputData[[#This Row],[Transacted Units]]*InputData[[#This Row],[Transacted Price (per unit)]]</f>
        <v>29.994606000000001</v>
      </c>
      <c r="I990" s="14"/>
    </row>
    <row r="991" spans="1:9" ht="15.75" customHeight="1" x14ac:dyDescent="0.25">
      <c r="A991" s="16" t="s">
        <v>39</v>
      </c>
      <c r="B991" s="21">
        <v>44419</v>
      </c>
      <c r="C991" s="16" t="s">
        <v>5</v>
      </c>
      <c r="D991" s="17">
        <v>46.59</v>
      </c>
      <c r="E991" s="18">
        <v>1.2867999999999999</v>
      </c>
      <c r="F991" s="18">
        <v>5.995201E-2</v>
      </c>
      <c r="G991" s="16" t="s">
        <v>80</v>
      </c>
      <c r="H991" s="20">
        <f>InputData[[#This Row],[Transacted Units]]*InputData[[#This Row],[Transacted Price (per unit)]]</f>
        <v>59.952012000000003</v>
      </c>
      <c r="I991" s="14"/>
    </row>
    <row r="992" spans="1:9" ht="15.75" customHeight="1" x14ac:dyDescent="0.25">
      <c r="A992" s="16" t="s">
        <v>39</v>
      </c>
      <c r="B992" s="21">
        <v>44419</v>
      </c>
      <c r="C992" s="16" t="s">
        <v>5</v>
      </c>
      <c r="D992" s="17">
        <v>82.61</v>
      </c>
      <c r="E992" s="18">
        <v>1.2758</v>
      </c>
      <c r="F992" s="18">
        <v>0.10539384</v>
      </c>
      <c r="G992" s="16" t="s">
        <v>80</v>
      </c>
      <c r="H992" s="20">
        <f>InputData[[#This Row],[Transacted Units]]*InputData[[#This Row],[Transacted Price (per unit)]]</f>
        <v>105.393838</v>
      </c>
      <c r="I992" s="14"/>
    </row>
    <row r="993" spans="1:9" ht="15.75" customHeight="1" x14ac:dyDescent="0.25">
      <c r="A993" s="16" t="s">
        <v>39</v>
      </c>
      <c r="B993" s="21">
        <v>44419</v>
      </c>
      <c r="C993" s="16" t="s">
        <v>5</v>
      </c>
      <c r="D993" s="17">
        <v>47.73</v>
      </c>
      <c r="E993" s="18">
        <v>1.2578</v>
      </c>
      <c r="F993" s="18">
        <v>6.0034789999999998E-2</v>
      </c>
      <c r="G993" s="16" t="s">
        <v>80</v>
      </c>
      <c r="H993" s="20">
        <f>InputData[[#This Row],[Transacted Units]]*InputData[[#This Row],[Transacted Price (per unit)]]</f>
        <v>60.034793999999998</v>
      </c>
      <c r="I993" s="14"/>
    </row>
    <row r="994" spans="1:9" ht="15.75" customHeight="1" x14ac:dyDescent="0.25">
      <c r="A994" s="16" t="s">
        <v>39</v>
      </c>
      <c r="B994" s="21">
        <v>44419</v>
      </c>
      <c r="C994" s="16" t="s">
        <v>5</v>
      </c>
      <c r="D994" s="17">
        <v>24.08</v>
      </c>
      <c r="E994" s="18">
        <v>1.2468999999999999</v>
      </c>
      <c r="F994" s="18">
        <v>3.0025349999999999E-2</v>
      </c>
      <c r="G994" s="16" t="s">
        <v>80</v>
      </c>
      <c r="H994" s="20">
        <f>InputData[[#This Row],[Transacted Units]]*InputData[[#This Row],[Transacted Price (per unit)]]</f>
        <v>30.025351999999994</v>
      </c>
      <c r="I994" s="14"/>
    </row>
    <row r="995" spans="1:9" ht="15.75" customHeight="1" x14ac:dyDescent="0.25">
      <c r="A995" s="16" t="s">
        <v>39</v>
      </c>
      <c r="B995" s="21">
        <v>44419</v>
      </c>
      <c r="C995" s="16" t="s">
        <v>5</v>
      </c>
      <c r="D995" s="17">
        <v>141.37</v>
      </c>
      <c r="E995" s="18">
        <v>1.2199</v>
      </c>
      <c r="F995" s="18">
        <v>0.17245726</v>
      </c>
      <c r="G995" s="16" t="s">
        <v>80</v>
      </c>
      <c r="H995" s="20">
        <f>InputData[[#This Row],[Transacted Units]]*InputData[[#This Row],[Transacted Price (per unit)]]</f>
        <v>172.45726300000001</v>
      </c>
      <c r="I995" s="14"/>
    </row>
    <row r="996" spans="1:9" ht="15.75" customHeight="1" x14ac:dyDescent="0.25">
      <c r="A996" s="16" t="s">
        <v>39</v>
      </c>
      <c r="B996" s="21">
        <v>44419</v>
      </c>
      <c r="C996" s="16" t="s">
        <v>5</v>
      </c>
      <c r="D996" s="17">
        <v>140.88999999999999</v>
      </c>
      <c r="E996" s="18">
        <v>1.2243999999999999</v>
      </c>
      <c r="F996" s="18">
        <v>0.17250572</v>
      </c>
      <c r="G996" s="16" t="s">
        <v>80</v>
      </c>
      <c r="H996" s="20">
        <f>InputData[[#This Row],[Transacted Units]]*InputData[[#This Row],[Transacted Price (per unit)]]</f>
        <v>172.50571599999998</v>
      </c>
      <c r="I996" s="14"/>
    </row>
    <row r="997" spans="1:9" ht="15.75" customHeight="1" x14ac:dyDescent="0.25">
      <c r="A997" s="16" t="s">
        <v>39</v>
      </c>
      <c r="B997" s="21">
        <v>44419</v>
      </c>
      <c r="C997" s="16" t="s">
        <v>5</v>
      </c>
      <c r="D997" s="17">
        <v>85.4</v>
      </c>
      <c r="E997" s="18">
        <v>1.2295</v>
      </c>
      <c r="F997" s="18">
        <v>0.1049993</v>
      </c>
      <c r="G997" s="16" t="s">
        <v>80</v>
      </c>
      <c r="H997" s="20">
        <f>InputData[[#This Row],[Transacted Units]]*InputData[[#This Row],[Transacted Price (per unit)]]</f>
        <v>104.99930000000001</v>
      </c>
      <c r="I997" s="14"/>
    </row>
    <row r="998" spans="1:9" ht="15.75" customHeight="1" x14ac:dyDescent="0.25">
      <c r="A998" s="16" t="s">
        <v>39</v>
      </c>
      <c r="B998" s="21">
        <v>44419</v>
      </c>
      <c r="C998" s="16" t="s">
        <v>5</v>
      </c>
      <c r="D998" s="17">
        <v>48.92</v>
      </c>
      <c r="E998" s="18">
        <v>1.2262999999999999</v>
      </c>
      <c r="F998" s="18">
        <v>5.9990599999999998E-2</v>
      </c>
      <c r="G998" s="16" t="s">
        <v>80</v>
      </c>
      <c r="H998" s="20">
        <f>InputData[[#This Row],[Transacted Units]]*InputData[[#This Row],[Transacted Price (per unit)]]</f>
        <v>59.990595999999996</v>
      </c>
      <c r="I998" s="14"/>
    </row>
    <row r="999" spans="1:9" ht="15.75" customHeight="1" x14ac:dyDescent="0.25">
      <c r="A999" s="16" t="s">
        <v>39</v>
      </c>
      <c r="B999" s="21">
        <v>44419</v>
      </c>
      <c r="C999" s="16" t="s">
        <v>5</v>
      </c>
      <c r="D999" s="17">
        <v>49.24</v>
      </c>
      <c r="E999" s="18">
        <v>1.2185999999999999</v>
      </c>
      <c r="F999" s="18">
        <v>6.0003859999999999E-2</v>
      </c>
      <c r="G999" s="16" t="s">
        <v>80</v>
      </c>
      <c r="H999" s="20">
        <f>InputData[[#This Row],[Transacted Units]]*InputData[[#This Row],[Transacted Price (per unit)]]</f>
        <v>60.003864</v>
      </c>
      <c r="I999" s="14"/>
    </row>
    <row r="1000" spans="1:9" ht="15.75" customHeight="1" x14ac:dyDescent="0.25">
      <c r="A1000" s="16" t="s">
        <v>39</v>
      </c>
      <c r="B1000" s="21">
        <v>44419</v>
      </c>
      <c r="C1000" s="16" t="s">
        <v>5</v>
      </c>
      <c r="D1000" s="17">
        <v>24.73</v>
      </c>
      <c r="E1000" s="18">
        <v>1.2128000000000001</v>
      </c>
      <c r="F1000" s="18">
        <v>2.9992540000000002E-2</v>
      </c>
      <c r="G1000" s="16" t="s">
        <v>80</v>
      </c>
      <c r="H1000" s="20">
        <f>InputData[[#This Row],[Transacted Units]]*InputData[[#This Row],[Transacted Price (per unit)]]</f>
        <v>29.992544000000002</v>
      </c>
      <c r="I1000" s="14"/>
    </row>
    <row r="1001" spans="1:9" ht="15.75" customHeight="1" x14ac:dyDescent="0.25">
      <c r="A1001" s="16" t="s">
        <v>39</v>
      </c>
      <c r="B1001" s="21">
        <v>44419</v>
      </c>
      <c r="C1001" s="16" t="s">
        <v>5</v>
      </c>
      <c r="D1001" s="17">
        <v>87.4</v>
      </c>
      <c r="E1001" s="18">
        <v>1.2017</v>
      </c>
      <c r="F1001" s="18">
        <v>0.10502858</v>
      </c>
      <c r="G1001" s="16" t="s">
        <v>80</v>
      </c>
      <c r="H1001" s="20">
        <f>InputData[[#This Row],[Transacted Units]]*InputData[[#This Row],[Transacted Price (per unit)]]</f>
        <v>105.02858000000001</v>
      </c>
      <c r="I1001" s="14"/>
    </row>
    <row r="1002" spans="1:9" ht="15.75" customHeight="1" x14ac:dyDescent="0.25">
      <c r="A1002" s="16" t="s">
        <v>39</v>
      </c>
      <c r="B1002" s="21">
        <v>44419</v>
      </c>
      <c r="C1002" s="16" t="s">
        <v>5</v>
      </c>
      <c r="D1002" s="17">
        <v>87.64</v>
      </c>
      <c r="E1002" s="18">
        <v>1.1971000000000001</v>
      </c>
      <c r="F1002" s="18">
        <v>0.10491383999999999</v>
      </c>
      <c r="G1002" s="16" t="s">
        <v>80</v>
      </c>
      <c r="H1002" s="20">
        <f>InputData[[#This Row],[Transacted Units]]*InputData[[#This Row],[Transacted Price (per unit)]]</f>
        <v>104.91384400000001</v>
      </c>
      <c r="I1002" s="14"/>
    </row>
    <row r="1003" spans="1:9" ht="15.75" customHeight="1" x14ac:dyDescent="0.25">
      <c r="A1003" s="16" t="s">
        <v>39</v>
      </c>
      <c r="B1003" s="21">
        <v>44419</v>
      </c>
      <c r="C1003" s="16" t="s">
        <v>5</v>
      </c>
      <c r="D1003" s="17">
        <v>26.4</v>
      </c>
      <c r="E1003" s="18">
        <v>1.1964999999999999</v>
      </c>
      <c r="F1003" s="18">
        <v>3.15876E-2</v>
      </c>
      <c r="G1003" s="16" t="s">
        <v>80</v>
      </c>
      <c r="H1003" s="20">
        <f>InputData[[#This Row],[Transacted Units]]*InputData[[#This Row],[Transacted Price (per unit)]]</f>
        <v>31.587599999999995</v>
      </c>
      <c r="I1003" s="14"/>
    </row>
    <row r="1004" spans="1:9" ht="15.75" customHeight="1" x14ac:dyDescent="0.25">
      <c r="A1004" s="16" t="s">
        <v>39</v>
      </c>
      <c r="B1004" s="21">
        <v>44419</v>
      </c>
      <c r="C1004" s="16" t="s">
        <v>5</v>
      </c>
      <c r="D1004" s="17">
        <v>23.75</v>
      </c>
      <c r="E1004" s="18">
        <v>1.1963999999999999</v>
      </c>
      <c r="F1004" s="18">
        <v>2.8414499999999999E-2</v>
      </c>
      <c r="G1004" s="16" t="s">
        <v>80</v>
      </c>
      <c r="H1004" s="20">
        <f>InputData[[#This Row],[Transacted Units]]*InputData[[#This Row],[Transacted Price (per unit)]]</f>
        <v>28.414499999999997</v>
      </c>
      <c r="I1004" s="14"/>
    </row>
    <row r="1005" spans="1:9" ht="15.75" customHeight="1" x14ac:dyDescent="0.25">
      <c r="A1005" s="16" t="s">
        <v>39</v>
      </c>
      <c r="B1005" s="21">
        <v>44419</v>
      </c>
      <c r="C1005" s="16" t="s">
        <v>5</v>
      </c>
      <c r="D1005" s="17">
        <v>25.25</v>
      </c>
      <c r="E1005" s="18">
        <v>1.1882999999999999</v>
      </c>
      <c r="F1005" s="18">
        <v>3.0004579999999999E-2</v>
      </c>
      <c r="G1005" s="16" t="s">
        <v>80</v>
      </c>
      <c r="H1005" s="20">
        <f>InputData[[#This Row],[Transacted Units]]*InputData[[#This Row],[Transacted Price (per unit)]]</f>
        <v>30.004574999999999</v>
      </c>
      <c r="I1005" s="14"/>
    </row>
    <row r="1006" spans="1:9" ht="15.75" customHeight="1" x14ac:dyDescent="0.25">
      <c r="A1006" s="16" t="s">
        <v>39</v>
      </c>
      <c r="B1006" s="21">
        <v>44419</v>
      </c>
      <c r="C1006" s="16" t="s">
        <v>5</v>
      </c>
      <c r="D1006" s="17">
        <v>89.34</v>
      </c>
      <c r="E1006" s="18">
        <v>1.1747000000000001</v>
      </c>
      <c r="F1006" s="18">
        <v>0.1049477</v>
      </c>
      <c r="G1006" s="16" t="s">
        <v>80</v>
      </c>
      <c r="H1006" s="20">
        <f>InputData[[#This Row],[Transacted Units]]*InputData[[#This Row],[Transacted Price (per unit)]]</f>
        <v>104.94769800000002</v>
      </c>
      <c r="I1006" s="14"/>
    </row>
    <row r="1007" spans="1:9" ht="15.75" customHeight="1" x14ac:dyDescent="0.25">
      <c r="A1007" s="16" t="s">
        <v>39</v>
      </c>
      <c r="B1007" s="21">
        <v>44418</v>
      </c>
      <c r="C1007" s="16" t="s">
        <v>5</v>
      </c>
      <c r="D1007" s="17">
        <v>89.58</v>
      </c>
      <c r="E1007" s="18">
        <v>1.1698</v>
      </c>
      <c r="F1007" s="18">
        <v>0.10479068</v>
      </c>
      <c r="G1007" s="16" t="s">
        <v>80</v>
      </c>
      <c r="H1007" s="20">
        <f>InputData[[#This Row],[Transacted Units]]*InputData[[#This Row],[Transacted Price (per unit)]]</f>
        <v>104.790684</v>
      </c>
      <c r="I1007" s="14"/>
    </row>
    <row r="1008" spans="1:9" ht="15.75" customHeight="1" x14ac:dyDescent="0.25">
      <c r="A1008" s="16" t="s">
        <v>39</v>
      </c>
      <c r="B1008" s="21">
        <v>44418</v>
      </c>
      <c r="C1008" s="16" t="s">
        <v>5</v>
      </c>
      <c r="D1008" s="17">
        <v>25.68</v>
      </c>
      <c r="E1008" s="18">
        <v>1.1673</v>
      </c>
      <c r="F1008" s="18">
        <v>2.9976260000000001E-2</v>
      </c>
      <c r="G1008" s="16" t="s">
        <v>80</v>
      </c>
      <c r="H1008" s="20">
        <f>InputData[[#This Row],[Transacted Units]]*InputData[[#This Row],[Transacted Price (per unit)]]</f>
        <v>29.976264</v>
      </c>
      <c r="I1008" s="14"/>
    </row>
    <row r="1009" spans="1:9" ht="15.75" customHeight="1" x14ac:dyDescent="0.25">
      <c r="A1009" s="16" t="s">
        <v>39</v>
      </c>
      <c r="B1009" s="21">
        <v>44418</v>
      </c>
      <c r="C1009" s="16" t="s">
        <v>5</v>
      </c>
      <c r="D1009" s="17">
        <v>90.48</v>
      </c>
      <c r="E1009" s="18">
        <v>1.1606000000000001</v>
      </c>
      <c r="F1009" s="18">
        <v>0.10501109</v>
      </c>
      <c r="G1009" s="16" t="s">
        <v>80</v>
      </c>
      <c r="H1009" s="20">
        <f>InputData[[#This Row],[Transacted Units]]*InputData[[#This Row],[Transacted Price (per unit)]]</f>
        <v>105.01108800000002</v>
      </c>
      <c r="I1009" s="14"/>
    </row>
    <row r="1010" spans="1:9" ht="15.75" customHeight="1" x14ac:dyDescent="0.25">
      <c r="A1010" s="16" t="s">
        <v>39</v>
      </c>
      <c r="B1010" s="21">
        <v>44418</v>
      </c>
      <c r="C1010" s="16" t="s">
        <v>5</v>
      </c>
      <c r="D1010" s="17">
        <v>52.07</v>
      </c>
      <c r="E1010" s="18">
        <v>1.1518999999999999</v>
      </c>
      <c r="F1010" s="18">
        <v>5.997943E-2</v>
      </c>
      <c r="G1010" s="16" t="s">
        <v>80</v>
      </c>
      <c r="H1010" s="20">
        <f>InputData[[#This Row],[Transacted Units]]*InputData[[#This Row],[Transacted Price (per unit)]]</f>
        <v>59.979432999999993</v>
      </c>
      <c r="I1010" s="14"/>
    </row>
    <row r="1011" spans="1:9" ht="15.75" customHeight="1" x14ac:dyDescent="0.25">
      <c r="A1011" s="16" t="s">
        <v>39</v>
      </c>
      <c r="B1011" s="21">
        <v>44418</v>
      </c>
      <c r="C1011" s="16" t="s">
        <v>5</v>
      </c>
      <c r="D1011" s="17">
        <v>238.96</v>
      </c>
      <c r="E1011" s="18">
        <v>1.1463000000000001</v>
      </c>
      <c r="F1011" s="18">
        <v>0.27391985000000002</v>
      </c>
      <c r="G1011" s="16" t="s">
        <v>80</v>
      </c>
      <c r="H1011" s="20">
        <f>InputData[[#This Row],[Transacted Units]]*InputData[[#This Row],[Transacted Price (per unit)]]</f>
        <v>273.91984800000006</v>
      </c>
      <c r="I1011" s="14"/>
    </row>
    <row r="1012" spans="1:9" ht="15.75" customHeight="1" x14ac:dyDescent="0.25">
      <c r="A1012" s="16" t="s">
        <v>39</v>
      </c>
      <c r="B1012" s="21">
        <v>44418</v>
      </c>
      <c r="C1012" s="16" t="s">
        <v>5</v>
      </c>
      <c r="D1012" s="17">
        <v>51.62</v>
      </c>
      <c r="E1012" s="18">
        <v>1.1617999999999999</v>
      </c>
      <c r="F1012" s="18">
        <v>5.9972119999999997E-2</v>
      </c>
      <c r="G1012" s="16" t="s">
        <v>80</v>
      </c>
      <c r="H1012" s="20">
        <f>InputData[[#This Row],[Transacted Units]]*InputData[[#This Row],[Transacted Price (per unit)]]</f>
        <v>59.972115999999993</v>
      </c>
      <c r="I1012" s="14"/>
    </row>
    <row r="1013" spans="1:9" ht="15.75" customHeight="1" x14ac:dyDescent="0.25">
      <c r="A1013" s="16" t="s">
        <v>39</v>
      </c>
      <c r="B1013" s="21">
        <v>44418</v>
      </c>
      <c r="C1013" s="16" t="s">
        <v>5</v>
      </c>
      <c r="D1013" s="17">
        <v>25.97</v>
      </c>
      <c r="E1013" s="18">
        <v>1.1553</v>
      </c>
      <c r="F1013" s="18">
        <v>3.0003140000000001E-2</v>
      </c>
      <c r="G1013" s="16" t="s">
        <v>80</v>
      </c>
      <c r="H1013" s="20">
        <f>InputData[[#This Row],[Transacted Units]]*InputData[[#This Row],[Transacted Price (per unit)]]</f>
        <v>30.003140999999999</v>
      </c>
      <c r="I1013" s="14"/>
    </row>
    <row r="1014" spans="1:9" ht="15.75" customHeight="1" x14ac:dyDescent="0.25">
      <c r="A1014" s="16" t="s">
        <v>39</v>
      </c>
      <c r="B1014" s="21">
        <v>44418</v>
      </c>
      <c r="C1014" s="16" t="s">
        <v>5</v>
      </c>
      <c r="D1014" s="17">
        <v>26.29</v>
      </c>
      <c r="E1014" s="18">
        <v>1.1412</v>
      </c>
      <c r="F1014" s="18">
        <v>3.0002150000000002E-2</v>
      </c>
      <c r="G1014" s="16" t="s">
        <v>80</v>
      </c>
      <c r="H1014" s="20">
        <f>InputData[[#This Row],[Transacted Units]]*InputData[[#This Row],[Transacted Price (per unit)]]</f>
        <v>30.002147999999998</v>
      </c>
      <c r="I1014" s="14"/>
    </row>
    <row r="1015" spans="1:9" ht="15.75" customHeight="1" x14ac:dyDescent="0.25">
      <c r="A1015" s="16" t="s">
        <v>39</v>
      </c>
      <c r="B1015" s="21">
        <v>44418</v>
      </c>
      <c r="C1015" s="16" t="s">
        <v>5</v>
      </c>
      <c r="D1015" s="17">
        <v>93.34</v>
      </c>
      <c r="E1015" s="18">
        <v>1.1251</v>
      </c>
      <c r="F1015" s="18">
        <v>0.10501683000000001</v>
      </c>
      <c r="G1015" s="16" t="s">
        <v>80</v>
      </c>
      <c r="H1015" s="20">
        <f>InputData[[#This Row],[Transacted Units]]*InputData[[#This Row],[Transacted Price (per unit)]]</f>
        <v>105.016834</v>
      </c>
      <c r="I1015" s="14"/>
    </row>
    <row r="1016" spans="1:9" ht="15.75" customHeight="1" x14ac:dyDescent="0.25">
      <c r="A1016" s="16" t="s">
        <v>39</v>
      </c>
      <c r="B1016" s="21">
        <v>44418</v>
      </c>
      <c r="C1016" s="16" t="s">
        <v>5</v>
      </c>
      <c r="D1016" s="17">
        <v>154.62</v>
      </c>
      <c r="E1016" s="18">
        <v>1.1153999999999999</v>
      </c>
      <c r="F1016" s="18">
        <v>0.17246315000000001</v>
      </c>
      <c r="G1016" s="16" t="s">
        <v>80</v>
      </c>
      <c r="H1016" s="20">
        <f>InputData[[#This Row],[Transacted Units]]*InputData[[#This Row],[Transacted Price (per unit)]]</f>
        <v>172.46314799999999</v>
      </c>
      <c r="I1016" s="14"/>
    </row>
    <row r="1017" spans="1:9" ht="15.75" customHeight="1" x14ac:dyDescent="0.25">
      <c r="A1017" s="16" t="s">
        <v>39</v>
      </c>
      <c r="B1017" s="21">
        <v>44418</v>
      </c>
      <c r="C1017" s="16" t="s">
        <v>5</v>
      </c>
      <c r="D1017" s="17">
        <v>93.84</v>
      </c>
      <c r="E1017" s="18">
        <v>1.1203000000000001</v>
      </c>
      <c r="F1017" s="18">
        <v>0.10512895</v>
      </c>
      <c r="G1017" s="16" t="s">
        <v>80</v>
      </c>
      <c r="H1017" s="20">
        <f>InputData[[#This Row],[Transacted Units]]*InputData[[#This Row],[Transacted Price (per unit)]]</f>
        <v>105.12895200000001</v>
      </c>
      <c r="I1017" s="14"/>
    </row>
    <row r="1018" spans="1:9" ht="15.75" customHeight="1" x14ac:dyDescent="0.25">
      <c r="A1018" s="16" t="s">
        <v>39</v>
      </c>
      <c r="B1018" s="21">
        <v>44417</v>
      </c>
      <c r="C1018" s="16" t="s">
        <v>5</v>
      </c>
      <c r="D1018" s="17">
        <v>53.54</v>
      </c>
      <c r="E1018" s="18">
        <v>1.1226</v>
      </c>
      <c r="F1018" s="18">
        <v>6.0103999999999998E-2</v>
      </c>
      <c r="G1018" s="16" t="s">
        <v>80</v>
      </c>
      <c r="H1018" s="20">
        <f>InputData[[#This Row],[Transacted Units]]*InputData[[#This Row],[Transacted Price (per unit)]]</f>
        <v>60.104004000000003</v>
      </c>
      <c r="I1018" s="14"/>
    </row>
    <row r="1019" spans="1:9" ht="15.75" customHeight="1" x14ac:dyDescent="0.25">
      <c r="A1019" s="16" t="s">
        <v>39</v>
      </c>
      <c r="B1019" s="21">
        <v>44417</v>
      </c>
      <c r="C1019" s="16" t="s">
        <v>5</v>
      </c>
      <c r="D1019" s="17">
        <v>93.94</v>
      </c>
      <c r="E1019" s="18">
        <v>1.1184000000000001</v>
      </c>
      <c r="F1019" s="18">
        <v>0.1050625</v>
      </c>
      <c r="G1019" s="16" t="s">
        <v>80</v>
      </c>
      <c r="H1019" s="20">
        <f>InputData[[#This Row],[Transacted Units]]*InputData[[#This Row],[Transacted Price (per unit)]]</f>
        <v>105.06249600000001</v>
      </c>
      <c r="I1019" s="14"/>
    </row>
    <row r="1020" spans="1:9" ht="15.75" customHeight="1" x14ac:dyDescent="0.25">
      <c r="A1020" s="16" t="s">
        <v>39</v>
      </c>
      <c r="B1020" s="21">
        <v>44417</v>
      </c>
      <c r="C1020" s="16" t="s">
        <v>5</v>
      </c>
      <c r="D1020" s="17">
        <v>53.59</v>
      </c>
      <c r="E1020" s="18">
        <v>1.1216999999999999</v>
      </c>
      <c r="F1020" s="18">
        <v>6.0111900000000003E-2</v>
      </c>
      <c r="G1020" s="16" t="s">
        <v>80</v>
      </c>
      <c r="H1020" s="20">
        <f>InputData[[#This Row],[Transacted Units]]*InputData[[#This Row],[Transacted Price (per unit)]]</f>
        <v>60.111902999999998</v>
      </c>
      <c r="I1020" s="14"/>
    </row>
    <row r="1021" spans="1:9" ht="15.75" customHeight="1" x14ac:dyDescent="0.25">
      <c r="A1021" s="16" t="s">
        <v>39</v>
      </c>
      <c r="B1021" s="21">
        <v>44417</v>
      </c>
      <c r="C1021" s="16" t="s">
        <v>5</v>
      </c>
      <c r="D1021" s="17">
        <v>26.98</v>
      </c>
      <c r="E1021" s="18">
        <v>1.1161000000000001</v>
      </c>
      <c r="F1021" s="18">
        <v>3.0112380000000001E-2</v>
      </c>
      <c r="G1021" s="16" t="s">
        <v>80</v>
      </c>
      <c r="H1021" s="20">
        <f>InputData[[#This Row],[Transacted Units]]*InputData[[#This Row],[Transacted Price (per unit)]]</f>
        <v>30.112378000000003</v>
      </c>
      <c r="I1021" s="14"/>
    </row>
    <row r="1022" spans="1:9" ht="15.75" customHeight="1" x14ac:dyDescent="0.25">
      <c r="A1022" s="16" t="s">
        <v>39</v>
      </c>
      <c r="B1022" s="21">
        <v>44417</v>
      </c>
      <c r="C1022" s="16" t="s">
        <v>5</v>
      </c>
      <c r="D1022" s="17">
        <v>27.2</v>
      </c>
      <c r="E1022" s="18">
        <v>1.1068</v>
      </c>
      <c r="F1022" s="18">
        <v>3.010496E-2</v>
      </c>
      <c r="G1022" s="16" t="s">
        <v>80</v>
      </c>
      <c r="H1022" s="20">
        <f>InputData[[#This Row],[Transacted Units]]*InputData[[#This Row],[Transacted Price (per unit)]]</f>
        <v>30.104959999999998</v>
      </c>
      <c r="I1022" s="14"/>
    </row>
    <row r="1023" spans="1:9" ht="15.75" customHeight="1" x14ac:dyDescent="0.25">
      <c r="A1023" s="16" t="s">
        <v>39</v>
      </c>
      <c r="B1023" s="21">
        <v>44417</v>
      </c>
      <c r="C1023" s="16" t="s">
        <v>5</v>
      </c>
      <c r="D1023" s="17">
        <v>27.42</v>
      </c>
      <c r="E1023" s="18">
        <v>1.0976999999999999</v>
      </c>
      <c r="F1023" s="18">
        <v>3.0098929999999999E-2</v>
      </c>
      <c r="G1023" s="16" t="s">
        <v>80</v>
      </c>
      <c r="H1023" s="20">
        <f>InputData[[#This Row],[Transacted Units]]*InputData[[#This Row],[Transacted Price (per unit)]]</f>
        <v>30.098934</v>
      </c>
      <c r="I1023" s="14"/>
    </row>
    <row r="1024" spans="1:9" ht="15.75" customHeight="1" x14ac:dyDescent="0.25">
      <c r="A1024" s="16" t="s">
        <v>39</v>
      </c>
      <c r="B1024" s="21">
        <v>44417</v>
      </c>
      <c r="C1024" s="16" t="s">
        <v>5</v>
      </c>
      <c r="D1024" s="17">
        <v>96.68</v>
      </c>
      <c r="E1024" s="18">
        <v>1.0863</v>
      </c>
      <c r="F1024" s="18">
        <v>0.10502348</v>
      </c>
      <c r="G1024" s="16" t="s">
        <v>80</v>
      </c>
      <c r="H1024" s="20">
        <f>InputData[[#This Row],[Transacted Units]]*InputData[[#This Row],[Transacted Price (per unit)]]</f>
        <v>105.02348400000001</v>
      </c>
      <c r="I1024" s="14"/>
    </row>
    <row r="1025" spans="1:9" ht="15.75" customHeight="1" x14ac:dyDescent="0.25">
      <c r="A1025" s="16" t="s">
        <v>39</v>
      </c>
      <c r="B1025" s="21">
        <v>44417</v>
      </c>
      <c r="C1025" s="16" t="s">
        <v>5</v>
      </c>
      <c r="D1025" s="17">
        <v>159.02000000000001</v>
      </c>
      <c r="E1025" s="18">
        <v>1.0857000000000001</v>
      </c>
      <c r="F1025" s="18">
        <v>0.17264800999999999</v>
      </c>
      <c r="G1025" s="16" t="s">
        <v>80</v>
      </c>
      <c r="H1025" s="20">
        <f>InputData[[#This Row],[Transacted Units]]*InputData[[#This Row],[Transacted Price (per unit)]]</f>
        <v>172.64801400000002</v>
      </c>
      <c r="I1025" s="14"/>
    </row>
    <row r="1026" spans="1:9" ht="15.75" customHeight="1" x14ac:dyDescent="0.25">
      <c r="A1026" s="16" t="s">
        <v>39</v>
      </c>
      <c r="B1026" s="21">
        <v>44416</v>
      </c>
      <c r="C1026" s="16" t="s">
        <v>5</v>
      </c>
      <c r="D1026" s="17">
        <v>116.79</v>
      </c>
      <c r="E1026" s="18">
        <v>1.1080000000000001</v>
      </c>
      <c r="F1026" s="18">
        <v>0.12940331999999999</v>
      </c>
      <c r="G1026" s="16" t="s">
        <v>80</v>
      </c>
      <c r="H1026" s="20">
        <f>InputData[[#This Row],[Transacted Units]]*InputData[[#This Row],[Transacted Price (per unit)]]</f>
        <v>129.40332000000001</v>
      </c>
      <c r="I1026" s="14"/>
    </row>
    <row r="1027" spans="1:9" ht="15.75" customHeight="1" x14ac:dyDescent="0.25">
      <c r="A1027" s="16" t="s">
        <v>39</v>
      </c>
      <c r="B1027" s="21">
        <v>44415</v>
      </c>
      <c r="C1027" s="16" t="s">
        <v>5</v>
      </c>
      <c r="D1027" s="17">
        <v>18.78</v>
      </c>
      <c r="E1027" s="18">
        <v>1.0661</v>
      </c>
      <c r="F1027" s="18">
        <v>2.0021359999999998E-2</v>
      </c>
      <c r="G1027" s="16" t="s">
        <v>80</v>
      </c>
      <c r="H1027" s="20">
        <f>InputData[[#This Row],[Transacted Units]]*InputData[[#This Row],[Transacted Price (per unit)]]</f>
        <v>20.021358000000003</v>
      </c>
      <c r="I1027" s="14"/>
    </row>
    <row r="1028" spans="1:9" ht="15.75" customHeight="1" x14ac:dyDescent="0.25">
      <c r="A1028" s="16" t="s">
        <v>39</v>
      </c>
      <c r="B1028" s="21">
        <v>44415</v>
      </c>
      <c r="C1028" s="16" t="s">
        <v>5</v>
      </c>
      <c r="D1028" s="17">
        <v>106.5</v>
      </c>
      <c r="E1028" s="18">
        <v>1.0802</v>
      </c>
      <c r="F1028" s="18">
        <v>0.1150413</v>
      </c>
      <c r="G1028" s="16" t="s">
        <v>80</v>
      </c>
      <c r="H1028" s="20">
        <f>InputData[[#This Row],[Transacted Units]]*InputData[[#This Row],[Transacted Price (per unit)]]</f>
        <v>115.04130000000001</v>
      </c>
      <c r="I1028" s="14"/>
    </row>
    <row r="1029" spans="1:9" ht="15.75" customHeight="1" x14ac:dyDescent="0.25">
      <c r="A1029" s="16" t="s">
        <v>39</v>
      </c>
      <c r="B1029" s="21">
        <v>44415</v>
      </c>
      <c r="C1029" s="16" t="s">
        <v>5</v>
      </c>
      <c r="D1029" s="17">
        <v>37.22</v>
      </c>
      <c r="E1029" s="18">
        <v>1.0766</v>
      </c>
      <c r="F1029" s="18">
        <v>4.0071049999999997E-2</v>
      </c>
      <c r="G1029" s="16" t="s">
        <v>80</v>
      </c>
      <c r="H1029" s="20">
        <f>InputData[[#This Row],[Transacted Units]]*InputData[[#This Row],[Transacted Price (per unit)]]</f>
        <v>40.071052000000002</v>
      </c>
      <c r="I1029" s="14"/>
    </row>
    <row r="1030" spans="1:9" ht="15.75" customHeight="1" x14ac:dyDescent="0.25">
      <c r="A1030" s="16" t="s">
        <v>39</v>
      </c>
      <c r="B1030" s="21">
        <v>44415</v>
      </c>
      <c r="C1030" s="16" t="s">
        <v>5</v>
      </c>
      <c r="D1030" s="17">
        <v>18.89</v>
      </c>
      <c r="E1030" s="18">
        <v>1.0589999999999999</v>
      </c>
      <c r="F1030" s="18">
        <v>2.000451E-2</v>
      </c>
      <c r="G1030" s="16" t="s">
        <v>80</v>
      </c>
      <c r="H1030" s="20">
        <f>InputData[[#This Row],[Transacted Units]]*InputData[[#This Row],[Transacted Price (per unit)]]</f>
        <v>20.00451</v>
      </c>
      <c r="I1030" s="14"/>
    </row>
    <row r="1031" spans="1:9" ht="15.75" customHeight="1" x14ac:dyDescent="0.25">
      <c r="A1031" s="16" t="s">
        <v>39</v>
      </c>
      <c r="B1031" s="21">
        <v>44415</v>
      </c>
      <c r="C1031" s="16" t="s">
        <v>5</v>
      </c>
      <c r="D1031" s="17">
        <v>67</v>
      </c>
      <c r="E1031" s="18">
        <v>1.0451999999999999</v>
      </c>
      <c r="F1031" s="18">
        <v>7.0028400000000005E-2</v>
      </c>
      <c r="G1031" s="16" t="s">
        <v>80</v>
      </c>
      <c r="H1031" s="20">
        <f>InputData[[#This Row],[Transacted Units]]*InputData[[#This Row],[Transacted Price (per unit)]]</f>
        <v>70.028399999999991</v>
      </c>
      <c r="I1031" s="14"/>
    </row>
    <row r="1032" spans="1:9" ht="15.75" customHeight="1" x14ac:dyDescent="0.25">
      <c r="A1032" s="16" t="s">
        <v>39</v>
      </c>
      <c r="B1032" s="21">
        <v>44415</v>
      </c>
      <c r="C1032" s="16" t="s">
        <v>5</v>
      </c>
      <c r="D1032" s="17">
        <v>38.520000000000003</v>
      </c>
      <c r="E1032" s="18">
        <v>1.0388999999999999</v>
      </c>
      <c r="F1032" s="18">
        <v>4.0018430000000001E-2</v>
      </c>
      <c r="G1032" s="16" t="s">
        <v>80</v>
      </c>
      <c r="H1032" s="20">
        <f>InputData[[#This Row],[Transacted Units]]*InputData[[#This Row],[Transacted Price (per unit)]]</f>
        <v>40.018428</v>
      </c>
      <c r="I1032" s="14"/>
    </row>
    <row r="1033" spans="1:9" ht="15.75" customHeight="1" x14ac:dyDescent="0.25">
      <c r="A1033" s="16" t="s">
        <v>39</v>
      </c>
      <c r="B1033" s="21">
        <v>44415</v>
      </c>
      <c r="C1033" s="16" t="s">
        <v>5</v>
      </c>
      <c r="D1033" s="17">
        <v>68.260000000000005</v>
      </c>
      <c r="E1033" s="18">
        <v>1.0258</v>
      </c>
      <c r="F1033" s="18">
        <v>7.0021109999999998E-2</v>
      </c>
      <c r="G1033" s="16" t="s">
        <v>80</v>
      </c>
      <c r="H1033" s="20">
        <f>InputData[[#This Row],[Transacted Units]]*InputData[[#This Row],[Transacted Price (per unit)]]</f>
        <v>70.021108000000012</v>
      </c>
      <c r="I1033" s="14"/>
    </row>
    <row r="1034" spans="1:9" ht="15.75" customHeight="1" x14ac:dyDescent="0.25">
      <c r="A1034" s="16" t="s">
        <v>39</v>
      </c>
      <c r="B1034" s="21">
        <v>44414</v>
      </c>
      <c r="C1034" s="16" t="s">
        <v>5</v>
      </c>
      <c r="D1034" s="17">
        <v>39.18</v>
      </c>
      <c r="E1034" s="18">
        <v>1.0209999999999999</v>
      </c>
      <c r="F1034" s="18">
        <v>4.0002780000000002E-2</v>
      </c>
      <c r="G1034" s="16" t="s">
        <v>80</v>
      </c>
      <c r="H1034" s="20">
        <f>InputData[[#This Row],[Transacted Units]]*InputData[[#This Row],[Transacted Price (per unit)]]</f>
        <v>40.002779999999994</v>
      </c>
      <c r="I1034" s="14"/>
    </row>
    <row r="1035" spans="1:9" ht="15.75" customHeight="1" x14ac:dyDescent="0.25">
      <c r="A1035" s="16" t="s">
        <v>39</v>
      </c>
      <c r="B1035" s="21">
        <v>44414</v>
      </c>
      <c r="C1035" s="16" t="s">
        <v>5</v>
      </c>
      <c r="D1035" s="17">
        <v>19.600000000000001</v>
      </c>
      <c r="E1035" s="18">
        <v>1.0205</v>
      </c>
      <c r="F1035" s="18">
        <v>2.00018E-2</v>
      </c>
      <c r="G1035" s="16" t="s">
        <v>80</v>
      </c>
      <c r="H1035" s="20">
        <f>InputData[[#This Row],[Transacted Units]]*InputData[[#This Row],[Transacted Price (per unit)]]</f>
        <v>20.001799999999999</v>
      </c>
      <c r="I1035" s="14"/>
    </row>
    <row r="1036" spans="1:9" ht="15.75" customHeight="1" x14ac:dyDescent="0.25">
      <c r="A1036" s="16" t="s">
        <v>39</v>
      </c>
      <c r="B1036" s="21">
        <v>44414</v>
      </c>
      <c r="C1036" s="16" t="s">
        <v>5</v>
      </c>
      <c r="D1036" s="17">
        <v>400.92</v>
      </c>
      <c r="E1036" s="18">
        <v>1.0071000000000001</v>
      </c>
      <c r="F1036" s="18">
        <v>0.40376653000000001</v>
      </c>
      <c r="G1036" s="16" t="s">
        <v>80</v>
      </c>
      <c r="H1036" s="20">
        <f>InputData[[#This Row],[Transacted Units]]*InputData[[#This Row],[Transacted Price (per unit)]]</f>
        <v>403.76653200000004</v>
      </c>
      <c r="I1036" s="14"/>
    </row>
    <row r="1037" spans="1:9" ht="15.75" customHeight="1" x14ac:dyDescent="0.25">
      <c r="A1037" s="16" t="s">
        <v>39</v>
      </c>
      <c r="B1037" s="21">
        <v>44410</v>
      </c>
      <c r="C1037" s="16" t="s">
        <v>5</v>
      </c>
      <c r="D1037" s="17">
        <v>66.45</v>
      </c>
      <c r="E1037" s="18">
        <v>1.0537000000000001</v>
      </c>
      <c r="F1037" s="18">
        <v>7.0018369999999996E-2</v>
      </c>
      <c r="G1037" s="16" t="s">
        <v>80</v>
      </c>
      <c r="H1037" s="20">
        <f>InputData[[#This Row],[Transacted Units]]*InputData[[#This Row],[Transacted Price (per unit)]]</f>
        <v>70.018365000000003</v>
      </c>
      <c r="I1037" s="14"/>
    </row>
    <row r="1038" spans="1:9" ht="15.75" customHeight="1" x14ac:dyDescent="0.25">
      <c r="A1038" s="16" t="s">
        <v>39</v>
      </c>
      <c r="B1038" s="21">
        <v>44410</v>
      </c>
      <c r="C1038" s="16" t="s">
        <v>5</v>
      </c>
      <c r="D1038" s="17">
        <v>38.11</v>
      </c>
      <c r="E1038" s="18">
        <v>1.0497000000000001</v>
      </c>
      <c r="F1038" s="18">
        <v>4.0004070000000003E-2</v>
      </c>
      <c r="G1038" s="16" t="s">
        <v>80</v>
      </c>
      <c r="H1038" s="20">
        <f>InputData[[#This Row],[Transacted Units]]*InputData[[#This Row],[Transacted Price (per unit)]]</f>
        <v>40.004066999999999</v>
      </c>
      <c r="I1038" s="14"/>
    </row>
    <row r="1039" spans="1:9" ht="15.75" customHeight="1" x14ac:dyDescent="0.25">
      <c r="A1039" s="16" t="s">
        <v>39</v>
      </c>
      <c r="B1039" s="21">
        <v>44410</v>
      </c>
      <c r="C1039" s="16" t="s">
        <v>5</v>
      </c>
      <c r="D1039" s="17">
        <v>28.64</v>
      </c>
      <c r="E1039" s="18">
        <v>1.0427999999999999</v>
      </c>
      <c r="F1039" s="18">
        <v>2.986579E-2</v>
      </c>
      <c r="G1039" s="16" t="s">
        <v>80</v>
      </c>
      <c r="H1039" s="20">
        <f>InputData[[#This Row],[Transacted Units]]*InputData[[#This Row],[Transacted Price (per unit)]]</f>
        <v>29.865791999999999</v>
      </c>
      <c r="I1039" s="14"/>
    </row>
    <row r="1040" spans="1:9" ht="15.75" customHeight="1" x14ac:dyDescent="0.25">
      <c r="A1040" s="16" t="s">
        <v>39</v>
      </c>
      <c r="B1040" s="21">
        <v>44410</v>
      </c>
      <c r="C1040" s="16" t="s">
        <v>5</v>
      </c>
      <c r="D1040" s="17">
        <v>9.7100000000000009</v>
      </c>
      <c r="E1040" s="18">
        <v>1.0427999999999999</v>
      </c>
      <c r="F1040" s="18">
        <v>1.012559E-2</v>
      </c>
      <c r="G1040" s="16" t="s">
        <v>80</v>
      </c>
      <c r="H1040" s="20">
        <f>InputData[[#This Row],[Transacted Units]]*InputData[[#This Row],[Transacted Price (per unit)]]</f>
        <v>10.125588</v>
      </c>
      <c r="I1040" s="14"/>
    </row>
    <row r="1041" spans="1:9" ht="15.75" customHeight="1" x14ac:dyDescent="0.25">
      <c r="A1041" s="16" t="s">
        <v>39</v>
      </c>
      <c r="B1041" s="21">
        <v>44410</v>
      </c>
      <c r="C1041" s="16" t="s">
        <v>5</v>
      </c>
      <c r="D1041" s="17">
        <v>0.03</v>
      </c>
      <c r="E1041" s="18">
        <v>1.0354000000000001</v>
      </c>
      <c r="F1041" s="18">
        <v>4.0000000000000001E-8</v>
      </c>
      <c r="G1041" s="16" t="s">
        <v>80</v>
      </c>
      <c r="H1041" s="20">
        <f>InputData[[#This Row],[Transacted Units]]*InputData[[#This Row],[Transacted Price (per unit)]]</f>
        <v>3.1062000000000003E-2</v>
      </c>
      <c r="I1041" s="14"/>
    </row>
    <row r="1042" spans="1:9" ht="15.75" customHeight="1" x14ac:dyDescent="0.25">
      <c r="A1042" s="16" t="s">
        <v>39</v>
      </c>
      <c r="B1042" s="21">
        <v>44410</v>
      </c>
      <c r="C1042" s="16" t="s">
        <v>5</v>
      </c>
      <c r="D1042" s="17">
        <v>38.64</v>
      </c>
      <c r="E1042" s="18">
        <v>1.0354000000000001</v>
      </c>
      <c r="F1042" s="18">
        <v>4.0007859999999999E-2</v>
      </c>
      <c r="G1042" s="16" t="s">
        <v>80</v>
      </c>
      <c r="H1042" s="20">
        <f>InputData[[#This Row],[Transacted Units]]*InputData[[#This Row],[Transacted Price (per unit)]]</f>
        <v>40.007856000000004</v>
      </c>
      <c r="I1042" s="14"/>
    </row>
    <row r="1043" spans="1:9" ht="15.75" customHeight="1" x14ac:dyDescent="0.25">
      <c r="A1043" s="16" t="s">
        <v>39</v>
      </c>
      <c r="B1043" s="21">
        <v>44410</v>
      </c>
      <c r="C1043" s="16" t="s">
        <v>5</v>
      </c>
      <c r="D1043" s="17">
        <v>19.07</v>
      </c>
      <c r="E1043" s="18">
        <v>1.0264</v>
      </c>
      <c r="F1043" s="18">
        <v>1.9573449999999999E-2</v>
      </c>
      <c r="G1043" s="16" t="s">
        <v>80</v>
      </c>
      <c r="H1043" s="20">
        <f>InputData[[#This Row],[Transacted Units]]*InputData[[#This Row],[Transacted Price (per unit)]]</f>
        <v>19.573447999999999</v>
      </c>
      <c r="I1043" s="14"/>
    </row>
    <row r="1044" spans="1:9" ht="15.75" customHeight="1" x14ac:dyDescent="0.25">
      <c r="A1044" s="16" t="s">
        <v>39</v>
      </c>
      <c r="B1044" s="21">
        <v>44410</v>
      </c>
      <c r="C1044" s="16" t="s">
        <v>5</v>
      </c>
      <c r="D1044" s="17">
        <v>19.91</v>
      </c>
      <c r="E1044" s="18">
        <v>1.0264</v>
      </c>
      <c r="F1044" s="18">
        <v>2.0435620000000002E-2</v>
      </c>
      <c r="G1044" s="16" t="s">
        <v>80</v>
      </c>
      <c r="H1044" s="20">
        <f>InputData[[#This Row],[Transacted Units]]*InputData[[#This Row],[Transacted Price (per unit)]]</f>
        <v>20.435624000000001</v>
      </c>
      <c r="I1044" s="14"/>
    </row>
    <row r="1045" spans="1:9" ht="15.75" customHeight="1" x14ac:dyDescent="0.25">
      <c r="A1045" s="16" t="s">
        <v>39</v>
      </c>
      <c r="B1045" s="21">
        <v>44410</v>
      </c>
      <c r="C1045" s="16" t="s">
        <v>5</v>
      </c>
      <c r="D1045" s="17">
        <v>39.24</v>
      </c>
      <c r="E1045" s="18">
        <v>1.0199</v>
      </c>
      <c r="F1045" s="18">
        <v>4.0020880000000002E-2</v>
      </c>
      <c r="G1045" s="16" t="s">
        <v>80</v>
      </c>
      <c r="H1045" s="20">
        <f>InputData[[#This Row],[Transacted Units]]*InputData[[#This Row],[Transacted Price (per unit)]]</f>
        <v>40.020876000000001</v>
      </c>
      <c r="I1045" s="14"/>
    </row>
    <row r="1046" spans="1:9" ht="15.75" customHeight="1" x14ac:dyDescent="0.25">
      <c r="A1046" s="16" t="s">
        <v>39</v>
      </c>
      <c r="B1046" s="21">
        <v>44410</v>
      </c>
      <c r="C1046" s="16" t="s">
        <v>5</v>
      </c>
      <c r="D1046" s="17">
        <v>19.93</v>
      </c>
      <c r="E1046" s="18">
        <v>1.0087999999999999</v>
      </c>
      <c r="F1046" s="18">
        <v>2.0105379999999999E-2</v>
      </c>
      <c r="G1046" s="16" t="s">
        <v>80</v>
      </c>
      <c r="H1046" s="20">
        <f>InputData[[#This Row],[Transacted Units]]*InputData[[#This Row],[Transacted Price (per unit)]]</f>
        <v>20.105383999999997</v>
      </c>
      <c r="I1046" s="14"/>
    </row>
    <row r="1047" spans="1:9" ht="15.75" customHeight="1" x14ac:dyDescent="0.25">
      <c r="A1047" s="16" t="s">
        <v>39</v>
      </c>
      <c r="B1047" s="21">
        <v>44410</v>
      </c>
      <c r="C1047" s="16" t="s">
        <v>5</v>
      </c>
      <c r="D1047" s="17">
        <v>20.05</v>
      </c>
      <c r="E1047" s="18">
        <v>1.0022</v>
      </c>
      <c r="F1047" s="18">
        <v>2.0094109999999998E-2</v>
      </c>
      <c r="G1047" s="16" t="s">
        <v>80</v>
      </c>
      <c r="H1047" s="20">
        <f>InputData[[#This Row],[Transacted Units]]*InputData[[#This Row],[Transacted Price (per unit)]]</f>
        <v>20.094110000000001</v>
      </c>
      <c r="I1047" s="14"/>
    </row>
    <row r="1048" spans="1:9" ht="15.75" customHeight="1" x14ac:dyDescent="0.25">
      <c r="A1048" s="16" t="s">
        <v>39</v>
      </c>
      <c r="B1048" s="21">
        <v>44410</v>
      </c>
      <c r="C1048" s="16" t="s">
        <v>5</v>
      </c>
      <c r="D1048" s="17">
        <v>35.25</v>
      </c>
      <c r="E1048" s="18">
        <v>0.99619999999999997</v>
      </c>
      <c r="F1048" s="18">
        <v>3.5116050000000003E-2</v>
      </c>
      <c r="G1048" s="16" t="s">
        <v>80</v>
      </c>
      <c r="H1048" s="20">
        <f>InputData[[#This Row],[Transacted Units]]*InputData[[#This Row],[Transacted Price (per unit)]]</f>
        <v>35.116050000000001</v>
      </c>
      <c r="I1048" s="14"/>
    </row>
    <row r="1049" spans="1:9" ht="15.75" customHeight="1" x14ac:dyDescent="0.25">
      <c r="A1049" s="16" t="s">
        <v>39</v>
      </c>
      <c r="B1049" s="21">
        <v>44508</v>
      </c>
      <c r="C1049" s="16" t="s">
        <v>5</v>
      </c>
      <c r="D1049" s="17">
        <v>42</v>
      </c>
      <c r="E1049" s="18">
        <v>1.2400724000000001</v>
      </c>
      <c r="F1049" s="18">
        <v>5.2083040800000001E-2</v>
      </c>
      <c r="G1049" s="16" t="s">
        <v>80</v>
      </c>
      <c r="H1049" s="20">
        <f>InputData[[#This Row],[Transacted Units]]*InputData[[#This Row],[Transacted Price (per unit)]]</f>
        <v>52.083040800000006</v>
      </c>
      <c r="I1049" s="14"/>
    </row>
    <row r="1050" spans="1:9" ht="15.75" customHeight="1" x14ac:dyDescent="0.25">
      <c r="A1050" s="16" t="s">
        <v>39</v>
      </c>
      <c r="B1050" s="21">
        <v>44508</v>
      </c>
      <c r="C1050" s="16" t="s">
        <v>5</v>
      </c>
      <c r="D1050" s="17">
        <v>36</v>
      </c>
      <c r="E1050" s="18">
        <v>1.22868398</v>
      </c>
      <c r="F1050" s="18">
        <v>4.4231357899999997E-2</v>
      </c>
      <c r="G1050" s="16" t="s">
        <v>80</v>
      </c>
      <c r="H1050" s="20">
        <f>InputData[[#This Row],[Transacted Units]]*InputData[[#This Row],[Transacted Price (per unit)]]</f>
        <v>44.232623279999999</v>
      </c>
      <c r="I1050" s="14"/>
    </row>
    <row r="1051" spans="1:9" ht="15.75" customHeight="1" x14ac:dyDescent="0.25">
      <c r="A1051" s="16" t="s">
        <v>39</v>
      </c>
      <c r="B1051" s="21">
        <v>44508</v>
      </c>
      <c r="C1051" s="16" t="s">
        <v>5</v>
      </c>
      <c r="D1051" s="17">
        <v>6</v>
      </c>
      <c r="E1051" s="18">
        <v>1.22868398</v>
      </c>
      <c r="F1051" s="18">
        <v>7.3708385E-3</v>
      </c>
      <c r="G1051" s="16" t="s">
        <v>80</v>
      </c>
      <c r="H1051" s="20">
        <f>InputData[[#This Row],[Transacted Units]]*InputData[[#This Row],[Transacted Price (per unit)]]</f>
        <v>7.3721038800000001</v>
      </c>
      <c r="I1051" s="14"/>
    </row>
    <row r="1052" spans="1:9" ht="15.75" customHeight="1" x14ac:dyDescent="0.25">
      <c r="A1052" s="16" t="s">
        <v>39</v>
      </c>
      <c r="B1052" s="21">
        <v>44508</v>
      </c>
      <c r="C1052" s="16" t="s">
        <v>5</v>
      </c>
      <c r="D1052" s="17">
        <v>42</v>
      </c>
      <c r="E1052" s="18">
        <v>1.2172955599999999</v>
      </c>
      <c r="F1052" s="18">
        <v>5.1127678900000001E-2</v>
      </c>
      <c r="G1052" s="16" t="s">
        <v>80</v>
      </c>
      <c r="H1052" s="20">
        <f>InputData[[#This Row],[Transacted Units]]*InputData[[#This Row],[Transacted Price (per unit)]]</f>
        <v>51.12641352</v>
      </c>
      <c r="I1052" s="14"/>
    </row>
    <row r="1053" spans="1:9" ht="15.75" customHeight="1" x14ac:dyDescent="0.25">
      <c r="A1053" s="16" t="s">
        <v>39</v>
      </c>
      <c r="B1053" s="21">
        <v>44508</v>
      </c>
      <c r="C1053" s="16" t="s">
        <v>5</v>
      </c>
      <c r="D1053" s="17">
        <v>42</v>
      </c>
      <c r="E1053" s="18">
        <v>1.2059071400000001</v>
      </c>
      <c r="F1053" s="18">
        <v>5.0646834500000001E-2</v>
      </c>
      <c r="G1053" s="16" t="s">
        <v>80</v>
      </c>
      <c r="H1053" s="20">
        <f>InputData[[#This Row],[Transacted Units]]*InputData[[#This Row],[Transacted Price (per unit)]]</f>
        <v>50.648099880000004</v>
      </c>
      <c r="I1053" s="14"/>
    </row>
    <row r="1054" spans="1:9" ht="15.75" customHeight="1" x14ac:dyDescent="0.25">
      <c r="A1054" s="16" t="s">
        <v>39</v>
      </c>
      <c r="B1054" s="21">
        <v>44507</v>
      </c>
      <c r="C1054" s="16" t="s">
        <v>5</v>
      </c>
      <c r="D1054" s="17">
        <v>42</v>
      </c>
      <c r="E1054" s="18">
        <v>1.19515141</v>
      </c>
      <c r="F1054" s="18">
        <v>5.0197624599999997E-2</v>
      </c>
      <c r="G1054" s="16" t="s">
        <v>80</v>
      </c>
      <c r="H1054" s="20">
        <f>InputData[[#This Row],[Transacted Units]]*InputData[[#This Row],[Transacted Price (per unit)]]</f>
        <v>50.196359219999998</v>
      </c>
      <c r="I1054" s="14"/>
    </row>
    <row r="1055" spans="1:9" ht="15.75" customHeight="1" x14ac:dyDescent="0.25">
      <c r="A1055" s="16" t="s">
        <v>39</v>
      </c>
      <c r="B1055" s="21">
        <v>44507</v>
      </c>
      <c r="C1055" s="16" t="s">
        <v>5</v>
      </c>
      <c r="D1055" s="17">
        <v>42</v>
      </c>
      <c r="E1055" s="18">
        <v>1.18376299</v>
      </c>
      <c r="F1055" s="18">
        <v>4.9716780199999998E-2</v>
      </c>
      <c r="G1055" s="16" t="s">
        <v>80</v>
      </c>
      <c r="H1055" s="20">
        <f>InputData[[#This Row],[Transacted Units]]*InputData[[#This Row],[Transacted Price (per unit)]]</f>
        <v>49.718045579999995</v>
      </c>
      <c r="I1055" s="14"/>
    </row>
    <row r="1056" spans="1:9" ht="15.75" customHeight="1" x14ac:dyDescent="0.25">
      <c r="A1056" s="16" t="s">
        <v>39</v>
      </c>
      <c r="B1056" s="21">
        <v>44507</v>
      </c>
      <c r="C1056" s="16" t="s">
        <v>5</v>
      </c>
      <c r="D1056" s="17">
        <v>42</v>
      </c>
      <c r="E1056" s="18">
        <v>1.1723745699999999</v>
      </c>
      <c r="F1056" s="18">
        <v>4.9242262699999997E-2</v>
      </c>
      <c r="G1056" s="16" t="s">
        <v>80</v>
      </c>
      <c r="H1056" s="20">
        <f>InputData[[#This Row],[Transacted Units]]*InputData[[#This Row],[Transacted Price (per unit)]]</f>
        <v>49.239731939999999</v>
      </c>
      <c r="I1056" s="14"/>
    </row>
    <row r="1057" spans="1:9" ht="15.75" customHeight="1" x14ac:dyDescent="0.25">
      <c r="A1057" s="16" t="s">
        <v>39</v>
      </c>
      <c r="B1057" s="21">
        <v>44507</v>
      </c>
      <c r="C1057" s="16" t="s">
        <v>5</v>
      </c>
      <c r="D1057" s="17">
        <v>42</v>
      </c>
      <c r="E1057" s="18">
        <v>1.1609861500000001</v>
      </c>
      <c r="F1057" s="18">
        <v>4.8761418299999998E-2</v>
      </c>
      <c r="G1057" s="16" t="s">
        <v>80</v>
      </c>
      <c r="H1057" s="20">
        <f>InputData[[#This Row],[Transacted Units]]*InputData[[#This Row],[Transacted Price (per unit)]]</f>
        <v>48.761418300000003</v>
      </c>
      <c r="I1057" s="14"/>
    </row>
    <row r="1058" spans="1:9" ht="15.75" customHeight="1" x14ac:dyDescent="0.25">
      <c r="A1058" s="16" t="s">
        <v>39</v>
      </c>
      <c r="B1058" s="21">
        <v>44507</v>
      </c>
      <c r="C1058" s="16" t="s">
        <v>5</v>
      </c>
      <c r="D1058" s="17">
        <v>42</v>
      </c>
      <c r="E1058" s="18">
        <v>1.14959773</v>
      </c>
      <c r="F1058" s="18">
        <v>4.8280573899999998E-2</v>
      </c>
      <c r="G1058" s="16" t="s">
        <v>80</v>
      </c>
      <c r="H1058" s="20">
        <f>InputData[[#This Row],[Transacted Units]]*InputData[[#This Row],[Transacted Price (per unit)]]</f>
        <v>48.283104659999999</v>
      </c>
      <c r="I1058" s="14"/>
    </row>
    <row r="1059" spans="1:9" ht="15.75" customHeight="1" x14ac:dyDescent="0.25">
      <c r="A1059" s="16" t="s">
        <v>39</v>
      </c>
      <c r="B1059" s="21">
        <v>44507</v>
      </c>
      <c r="C1059" s="16" t="s">
        <v>5</v>
      </c>
      <c r="D1059" s="17">
        <v>42</v>
      </c>
      <c r="E1059" s="18">
        <v>1.1388419999999999</v>
      </c>
      <c r="F1059" s="18">
        <v>4.7831364000000001E-2</v>
      </c>
      <c r="G1059" s="16" t="s">
        <v>80</v>
      </c>
      <c r="H1059" s="20">
        <f>InputData[[#This Row],[Transacted Units]]*InputData[[#This Row],[Transacted Price (per unit)]]</f>
        <v>47.831363999999994</v>
      </c>
      <c r="I1059" s="14"/>
    </row>
    <row r="1060" spans="1:9" ht="15.75" customHeight="1" x14ac:dyDescent="0.25">
      <c r="A1060" s="16" t="s">
        <v>39</v>
      </c>
      <c r="B1060" s="21">
        <v>44507</v>
      </c>
      <c r="C1060" s="16" t="s">
        <v>5</v>
      </c>
      <c r="D1060" s="17">
        <v>42</v>
      </c>
      <c r="E1060" s="18">
        <v>1.1280862700000001</v>
      </c>
      <c r="F1060" s="18">
        <v>4.7382154099999997E-2</v>
      </c>
      <c r="G1060" s="16" t="s">
        <v>80</v>
      </c>
      <c r="H1060" s="20">
        <f>InputData[[#This Row],[Transacted Units]]*InputData[[#This Row],[Transacted Price (per unit)]]</f>
        <v>47.379623340000002</v>
      </c>
      <c r="I1060" s="14"/>
    </row>
    <row r="1061" spans="1:9" x14ac:dyDescent="0.25">
      <c r="B1061" s="25"/>
      <c r="C1061" s="24"/>
      <c r="D1061" s="26"/>
      <c r="E1061" s="27"/>
      <c r="F1061" s="28"/>
      <c r="G1061" s="29"/>
    </row>
    <row r="1062" spans="1:9" x14ac:dyDescent="0.25">
      <c r="B1062" s="25"/>
      <c r="C1062" s="24"/>
      <c r="D1062" s="26"/>
      <c r="E1062" s="27"/>
      <c r="F1062" s="28"/>
      <c r="G1062" s="29"/>
    </row>
    <row r="1063" spans="1:9" x14ac:dyDescent="0.25">
      <c r="B1063" s="25"/>
      <c r="C1063" s="24"/>
      <c r="D1063" s="26"/>
      <c r="E1063" s="27"/>
      <c r="F1063" s="28"/>
      <c r="G1063" s="29"/>
    </row>
    <row r="1064" spans="1:9" x14ac:dyDescent="0.25">
      <c r="B1064" s="25"/>
      <c r="C1064" s="24"/>
      <c r="D1064" s="26"/>
      <c r="E1064" s="27"/>
      <c r="F1064" s="28"/>
      <c r="G1064" s="29"/>
    </row>
    <row r="1065" spans="1:9" x14ac:dyDescent="0.25">
      <c r="B1065" s="25"/>
      <c r="C1065" s="24"/>
      <c r="D1065" s="26"/>
      <c r="E1065" s="27"/>
      <c r="F1065" s="28"/>
      <c r="G1065" s="29"/>
    </row>
    <row r="1066" spans="1:9" x14ac:dyDescent="0.25">
      <c r="B1066" s="25"/>
      <c r="C1066" s="24"/>
      <c r="D1066" s="26"/>
      <c r="E1066" s="27"/>
      <c r="F1066" s="28"/>
      <c r="G1066" s="29"/>
    </row>
    <row r="1067" spans="1:9" x14ac:dyDescent="0.25">
      <c r="B1067" s="25"/>
      <c r="C1067" s="24"/>
      <c r="D1067" s="26"/>
      <c r="E1067" s="27"/>
      <c r="F1067" s="28"/>
      <c r="G1067" s="29"/>
    </row>
    <row r="1068" spans="1:9" x14ac:dyDescent="0.25">
      <c r="B1068" s="25"/>
      <c r="C1068" s="24"/>
      <c r="D1068" s="26"/>
      <c r="E1068" s="27"/>
      <c r="F1068" s="28"/>
      <c r="G1068" s="29"/>
    </row>
    <row r="1069" spans="1:9" x14ac:dyDescent="0.25">
      <c r="B1069" s="25"/>
      <c r="C1069" s="24"/>
      <c r="D1069" s="26"/>
      <c r="E1069" s="27"/>
      <c r="F1069" s="28"/>
      <c r="G1069" s="29"/>
    </row>
    <row r="1070" spans="1:9" x14ac:dyDescent="0.25">
      <c r="B1070" s="25"/>
      <c r="C1070" s="24"/>
      <c r="D1070" s="26"/>
      <c r="E1070" s="27"/>
      <c r="F1070" s="28"/>
      <c r="G1070" s="29"/>
    </row>
    <row r="1071" spans="1:9" x14ac:dyDescent="0.25">
      <c r="B1071" s="25"/>
      <c r="C1071" s="24"/>
      <c r="D1071" s="26"/>
      <c r="E1071" s="27"/>
      <c r="F1071" s="28"/>
      <c r="G1071" s="29"/>
    </row>
    <row r="1072" spans="1:9" x14ac:dyDescent="0.25">
      <c r="B1072" s="25"/>
      <c r="C1072" s="24"/>
      <c r="D1072" s="26"/>
      <c r="E1072" s="27"/>
      <c r="F1072" s="28"/>
      <c r="G1072" s="29"/>
    </row>
    <row r="1073" spans="2:7" x14ac:dyDescent="0.25">
      <c r="B1073" s="25"/>
      <c r="C1073" s="24"/>
      <c r="D1073" s="26"/>
      <c r="E1073" s="27"/>
      <c r="F1073" s="28"/>
      <c r="G1073" s="29"/>
    </row>
    <row r="1074" spans="2:7" x14ac:dyDescent="0.25">
      <c r="B1074" s="25"/>
      <c r="C1074" s="24"/>
      <c r="D1074" s="26"/>
      <c r="E1074" s="27"/>
      <c r="F1074" s="28"/>
      <c r="G1074" s="29"/>
    </row>
    <row r="1075" spans="2:7" x14ac:dyDescent="0.25">
      <c r="B1075" s="25"/>
      <c r="C1075" s="24"/>
      <c r="D1075" s="26"/>
      <c r="E1075" s="27"/>
      <c r="F1075" s="28"/>
      <c r="G1075" s="29"/>
    </row>
    <row r="1076" spans="2:7" x14ac:dyDescent="0.25">
      <c r="B1076" s="25"/>
      <c r="C1076" s="24"/>
      <c r="D1076" s="26"/>
      <c r="E1076" s="27"/>
      <c r="F1076" s="28"/>
      <c r="G1076" s="29"/>
    </row>
    <row r="1077" spans="2:7" x14ac:dyDescent="0.25">
      <c r="B1077" s="25"/>
      <c r="C1077" s="24"/>
      <c r="D1077" s="26"/>
      <c r="E1077" s="27"/>
      <c r="F1077" s="28"/>
      <c r="G1077" s="29"/>
    </row>
    <row r="1078" spans="2:7" x14ac:dyDescent="0.25">
      <c r="B1078" s="25"/>
      <c r="C1078" s="24"/>
      <c r="D1078" s="26"/>
      <c r="E1078" s="27"/>
      <c r="F1078" s="28"/>
      <c r="G1078" s="29"/>
    </row>
    <row r="1079" spans="2:7" x14ac:dyDescent="0.25">
      <c r="B1079" s="25"/>
      <c r="C1079" s="24"/>
      <c r="D1079" s="26"/>
      <c r="E1079" s="27"/>
      <c r="F1079" s="28"/>
      <c r="G1079" s="29"/>
    </row>
    <row r="1080" spans="2:7" x14ac:dyDescent="0.25">
      <c r="B1080" s="25"/>
      <c r="C1080" s="24"/>
      <c r="D1080" s="26"/>
      <c r="E1080" s="27"/>
      <c r="F1080" s="28"/>
      <c r="G1080" s="29"/>
    </row>
    <row r="1081" spans="2:7" x14ac:dyDescent="0.25">
      <c r="B1081" s="25"/>
      <c r="C1081" s="24"/>
      <c r="D1081" s="26"/>
      <c r="E1081" s="27"/>
      <c r="F1081" s="28"/>
      <c r="G1081" s="29"/>
    </row>
    <row r="1082" spans="2:7" x14ac:dyDescent="0.25">
      <c r="B1082" s="25"/>
      <c r="C1082" s="24"/>
      <c r="D1082" s="26"/>
      <c r="E1082" s="27"/>
      <c r="F1082" s="28"/>
      <c r="G1082" s="29"/>
    </row>
    <row r="1083" spans="2:7" x14ac:dyDescent="0.25">
      <c r="B1083" s="25"/>
      <c r="C1083" s="24"/>
      <c r="D1083" s="26"/>
      <c r="E1083" s="27"/>
      <c r="F1083" s="28"/>
      <c r="G1083" s="29"/>
    </row>
    <row r="1084" spans="2:7" x14ac:dyDescent="0.25">
      <c r="B1084" s="25"/>
      <c r="C1084" s="24"/>
      <c r="D1084" s="26"/>
      <c r="E1084" s="27"/>
      <c r="F1084" s="28"/>
      <c r="G1084" s="29"/>
    </row>
    <row r="1085" spans="2:7" x14ac:dyDescent="0.25">
      <c r="B1085" s="25"/>
      <c r="C1085" s="24"/>
      <c r="D1085" s="26"/>
      <c r="E1085" s="27"/>
      <c r="F1085" s="28"/>
      <c r="G1085" s="29"/>
    </row>
    <row r="1086" spans="2:7" x14ac:dyDescent="0.25">
      <c r="B1086" s="25"/>
      <c r="C1086" s="24"/>
      <c r="D1086" s="26"/>
      <c r="E1086" s="27"/>
      <c r="F1086" s="28"/>
      <c r="G1086" s="29"/>
    </row>
    <row r="1087" spans="2:7" x14ac:dyDescent="0.25">
      <c r="B1087" s="25"/>
      <c r="C1087" s="24"/>
      <c r="D1087" s="26"/>
      <c r="E1087" s="27"/>
      <c r="F1087" s="28"/>
      <c r="G1087" s="29"/>
    </row>
    <row r="1088" spans="2:7" x14ac:dyDescent="0.25">
      <c r="B1088" s="25"/>
      <c r="C1088" s="24"/>
      <c r="D1088" s="26"/>
      <c r="E1088" s="27"/>
      <c r="F1088" s="28"/>
      <c r="G1088" s="29"/>
    </row>
    <row r="1089" spans="2:7" x14ac:dyDescent="0.25">
      <c r="B1089" s="25"/>
      <c r="C1089" s="24"/>
      <c r="D1089" s="26"/>
      <c r="E1089" s="27"/>
      <c r="F1089" s="28"/>
      <c r="G1089" s="29"/>
    </row>
    <row r="1090" spans="2:7" x14ac:dyDescent="0.25">
      <c r="B1090" s="25"/>
      <c r="C1090" s="24"/>
      <c r="D1090" s="26"/>
      <c r="E1090" s="27"/>
      <c r="F1090" s="28"/>
      <c r="G1090" s="29"/>
    </row>
    <row r="1091" spans="2:7" x14ac:dyDescent="0.25">
      <c r="B1091" s="25"/>
      <c r="C1091" s="24"/>
      <c r="D1091" s="26"/>
      <c r="E1091" s="27"/>
      <c r="F1091" s="28"/>
      <c r="G1091" s="29"/>
    </row>
    <row r="1092" spans="2:7" x14ac:dyDescent="0.25">
      <c r="B1092" s="25"/>
      <c r="C1092" s="24"/>
      <c r="D1092" s="26"/>
      <c r="E1092" s="27"/>
      <c r="F1092" s="28"/>
      <c r="G1092" s="29"/>
    </row>
    <row r="1093" spans="2:7" x14ac:dyDescent="0.25">
      <c r="B1093" s="25"/>
      <c r="C1093" s="24"/>
      <c r="D1093" s="26"/>
      <c r="E1093" s="27"/>
      <c r="F1093" s="28"/>
      <c r="G1093" s="29"/>
    </row>
    <row r="1094" spans="2:7" x14ac:dyDescent="0.25">
      <c r="B1094" s="25"/>
      <c r="C1094" s="24"/>
      <c r="D1094" s="26"/>
      <c r="E1094" s="27"/>
      <c r="F1094" s="28"/>
      <c r="G1094" s="29"/>
    </row>
    <row r="1095" spans="2:7" x14ac:dyDescent="0.25">
      <c r="B1095" s="25"/>
      <c r="C1095" s="24"/>
      <c r="D1095" s="26"/>
      <c r="E1095" s="27"/>
      <c r="F1095" s="28"/>
      <c r="G1095" s="29"/>
    </row>
    <row r="1096" spans="2:7" x14ac:dyDescent="0.25">
      <c r="B1096" s="25"/>
      <c r="C1096" s="24"/>
      <c r="D1096" s="26"/>
      <c r="E1096" s="27"/>
      <c r="F1096" s="28"/>
      <c r="G1096" s="29"/>
    </row>
    <row r="1097" spans="2:7" x14ac:dyDescent="0.25">
      <c r="B1097" s="25"/>
      <c r="C1097" s="24"/>
      <c r="D1097" s="26"/>
      <c r="E1097" s="27"/>
      <c r="F1097" s="28"/>
      <c r="G1097" s="29"/>
    </row>
    <row r="1098" spans="2:7" x14ac:dyDescent="0.25">
      <c r="B1098" s="25"/>
      <c r="C1098" s="24"/>
      <c r="D1098" s="26"/>
      <c r="E1098" s="27"/>
      <c r="F1098" s="28"/>
      <c r="G1098" s="29"/>
    </row>
    <row r="1099" spans="2:7" x14ac:dyDescent="0.25">
      <c r="B1099" s="25"/>
      <c r="C1099" s="24"/>
      <c r="D1099" s="26"/>
      <c r="E1099" s="27"/>
      <c r="F1099" s="28"/>
      <c r="G1099" s="29"/>
    </row>
    <row r="1100" spans="2:7" x14ac:dyDescent="0.25">
      <c r="B1100" s="25"/>
      <c r="C1100" s="24"/>
      <c r="D1100" s="26"/>
      <c r="E1100" s="27"/>
      <c r="F1100" s="28"/>
      <c r="G1100" s="29"/>
    </row>
    <row r="1101" spans="2:7" x14ac:dyDescent="0.25">
      <c r="B1101" s="25"/>
      <c r="C1101" s="24"/>
      <c r="D1101" s="26"/>
      <c r="E1101" s="27"/>
      <c r="F1101" s="28"/>
      <c r="G1101" s="29"/>
    </row>
    <row r="1102" spans="2:7" x14ac:dyDescent="0.25">
      <c r="B1102" s="25"/>
      <c r="C1102" s="24"/>
      <c r="D1102" s="26"/>
      <c r="E1102" s="27"/>
      <c r="F1102" s="28"/>
      <c r="G1102" s="29"/>
    </row>
    <row r="1103" spans="2:7" x14ac:dyDescent="0.25">
      <c r="B1103" s="25"/>
      <c r="C1103" s="24"/>
      <c r="D1103" s="26"/>
      <c r="E1103" s="27"/>
      <c r="F1103" s="28"/>
      <c r="G1103" s="29"/>
    </row>
    <row r="1104" spans="2:7" x14ac:dyDescent="0.25">
      <c r="B1104" s="25"/>
      <c r="C1104" s="24"/>
      <c r="D1104" s="26"/>
      <c r="E1104" s="27"/>
      <c r="F1104" s="28"/>
      <c r="G1104" s="29"/>
    </row>
    <row r="1105" spans="2:7" x14ac:dyDescent="0.25">
      <c r="B1105" s="25"/>
      <c r="C1105" s="24"/>
      <c r="D1105" s="26"/>
      <c r="E1105" s="27"/>
      <c r="F1105" s="28"/>
      <c r="G1105" s="29"/>
    </row>
    <row r="1106" spans="2:7" x14ac:dyDescent="0.25">
      <c r="B1106" s="25"/>
      <c r="C1106" s="24"/>
      <c r="D1106" s="26"/>
      <c r="E1106" s="27"/>
      <c r="F1106" s="28"/>
      <c r="G1106" s="29"/>
    </row>
    <row r="1107" spans="2:7" x14ac:dyDescent="0.25">
      <c r="B1107" s="25"/>
      <c r="C1107" s="24"/>
      <c r="D1107" s="26"/>
      <c r="E1107" s="27"/>
      <c r="F1107" s="28"/>
      <c r="G1107" s="29"/>
    </row>
    <row r="1108" spans="2:7" x14ac:dyDescent="0.25">
      <c r="B1108" s="25"/>
      <c r="C1108" s="24"/>
      <c r="D1108" s="26"/>
      <c r="E1108" s="27"/>
      <c r="F1108" s="28"/>
      <c r="G1108" s="29"/>
    </row>
    <row r="1109" spans="2:7" x14ac:dyDescent="0.25">
      <c r="B1109" s="25"/>
      <c r="C1109" s="24"/>
      <c r="D1109" s="26"/>
      <c r="E1109" s="27"/>
      <c r="F1109" s="28"/>
      <c r="G1109" s="29"/>
    </row>
    <row r="1110" spans="2:7" x14ac:dyDescent="0.25">
      <c r="B1110" s="25"/>
      <c r="C1110" s="24"/>
      <c r="D1110" s="26"/>
      <c r="E1110" s="27"/>
      <c r="F1110" s="28"/>
      <c r="G1110" s="29"/>
    </row>
    <row r="1111" spans="2:7" x14ac:dyDescent="0.25">
      <c r="B1111" s="25"/>
      <c r="C1111" s="24"/>
      <c r="D1111" s="26"/>
      <c r="E1111" s="27"/>
      <c r="F1111" s="28"/>
      <c r="G1111" s="29"/>
    </row>
    <row r="1112" spans="2:7" x14ac:dyDescent="0.25">
      <c r="B1112" s="25"/>
      <c r="C1112" s="24"/>
      <c r="D1112" s="26"/>
      <c r="E1112" s="27"/>
      <c r="F1112" s="28"/>
      <c r="G1112" s="29"/>
    </row>
    <row r="1113" spans="2:7" x14ac:dyDescent="0.25">
      <c r="B1113" s="25"/>
      <c r="C1113" s="24"/>
      <c r="D1113" s="26"/>
      <c r="E1113" s="27"/>
      <c r="F1113" s="28"/>
      <c r="G1113" s="29"/>
    </row>
    <row r="1114" spans="2:7" x14ac:dyDescent="0.25">
      <c r="B1114" s="25"/>
      <c r="C1114" s="24"/>
      <c r="D1114" s="26"/>
      <c r="E1114" s="27"/>
      <c r="F1114" s="28"/>
      <c r="G1114" s="29"/>
    </row>
    <row r="1115" spans="2:7" x14ac:dyDescent="0.25">
      <c r="B1115" s="25"/>
      <c r="C1115" s="24"/>
      <c r="D1115" s="26"/>
      <c r="E1115" s="27"/>
      <c r="F1115" s="28"/>
      <c r="G1115" s="29"/>
    </row>
    <row r="1116" spans="2:7" x14ac:dyDescent="0.25">
      <c r="B1116" s="25"/>
      <c r="C1116" s="24"/>
      <c r="D1116" s="26"/>
      <c r="E1116" s="27"/>
      <c r="F1116" s="28"/>
      <c r="G1116" s="29"/>
    </row>
    <row r="1117" spans="2:7" x14ac:dyDescent="0.25">
      <c r="B1117" s="25"/>
      <c r="C1117" s="24"/>
      <c r="D1117" s="26"/>
      <c r="E1117" s="27"/>
      <c r="F1117" s="28"/>
      <c r="G1117" s="29"/>
    </row>
    <row r="1118" spans="2:7" x14ac:dyDescent="0.25">
      <c r="B1118" s="25"/>
      <c r="C1118" s="24"/>
      <c r="D1118" s="26"/>
      <c r="E1118" s="27"/>
      <c r="F1118" s="28"/>
      <c r="G1118" s="29"/>
    </row>
    <row r="1119" spans="2:7" x14ac:dyDescent="0.25">
      <c r="B1119" s="25"/>
      <c r="C1119" s="24"/>
      <c r="D1119" s="26"/>
      <c r="E1119" s="27"/>
      <c r="F1119" s="28"/>
      <c r="G1119" s="29"/>
    </row>
    <row r="1120" spans="2:7" x14ac:dyDescent="0.25">
      <c r="B1120" s="25"/>
      <c r="C1120" s="24"/>
      <c r="D1120" s="26"/>
      <c r="E1120" s="27"/>
      <c r="F1120" s="28"/>
      <c r="G1120" s="29"/>
    </row>
    <row r="1121" spans="2:7" x14ac:dyDescent="0.25">
      <c r="B1121" s="25"/>
      <c r="C1121" s="24"/>
      <c r="D1121" s="26"/>
      <c r="E1121" s="27"/>
      <c r="F1121" s="28"/>
      <c r="G1121" s="29"/>
    </row>
    <row r="1122" spans="2:7" x14ac:dyDescent="0.25">
      <c r="B1122" s="25"/>
      <c r="C1122" s="24"/>
      <c r="D1122" s="26"/>
      <c r="E1122" s="27"/>
      <c r="F1122" s="28"/>
      <c r="G1122" s="29"/>
    </row>
    <row r="1123" spans="2:7" x14ac:dyDescent="0.25">
      <c r="B1123" s="25"/>
      <c r="C1123" s="24"/>
      <c r="D1123" s="26"/>
      <c r="E1123" s="27"/>
      <c r="F1123" s="28"/>
      <c r="G1123" s="29"/>
    </row>
    <row r="1124" spans="2:7" x14ac:dyDescent="0.25">
      <c r="B1124" s="25"/>
      <c r="C1124" s="24"/>
      <c r="D1124" s="26"/>
      <c r="E1124" s="27"/>
      <c r="F1124" s="28"/>
      <c r="G1124" s="29"/>
    </row>
    <row r="1125" spans="2:7" x14ac:dyDescent="0.25">
      <c r="B1125" s="25"/>
      <c r="C1125" s="24"/>
      <c r="D1125" s="26"/>
      <c r="E1125" s="27"/>
      <c r="F1125" s="28"/>
      <c r="G1125" s="29"/>
    </row>
    <row r="1126" spans="2:7" x14ac:dyDescent="0.25">
      <c r="B1126" s="25"/>
      <c r="C1126" s="24"/>
      <c r="D1126" s="26"/>
      <c r="E1126" s="27"/>
      <c r="F1126" s="28"/>
      <c r="G1126" s="29"/>
    </row>
    <row r="1127" spans="2:7" x14ac:dyDescent="0.25">
      <c r="B1127" s="25"/>
      <c r="C1127" s="24"/>
      <c r="D1127" s="26"/>
      <c r="E1127" s="27"/>
      <c r="F1127" s="28"/>
      <c r="G1127" s="29"/>
    </row>
    <row r="1128" spans="2:7" x14ac:dyDescent="0.25">
      <c r="B1128" s="25"/>
      <c r="C1128" s="24"/>
      <c r="D1128" s="26"/>
      <c r="E1128" s="27"/>
      <c r="F1128" s="28"/>
      <c r="G1128" s="29"/>
    </row>
    <row r="1129" spans="2:7" x14ac:dyDescent="0.25">
      <c r="B1129" s="25"/>
      <c r="C1129" s="24"/>
      <c r="D1129" s="26"/>
      <c r="E1129" s="27"/>
      <c r="F1129" s="28"/>
      <c r="G1129" s="29"/>
    </row>
    <row r="1130" spans="2:7" x14ac:dyDescent="0.25">
      <c r="B1130" s="25"/>
      <c r="C1130" s="24"/>
      <c r="D1130" s="26"/>
      <c r="E1130" s="27"/>
      <c r="F1130" s="28"/>
      <c r="G1130" s="29"/>
    </row>
    <row r="1131" spans="2:7" x14ac:dyDescent="0.25">
      <c r="B1131" s="25"/>
      <c r="C1131" s="24"/>
      <c r="D1131" s="26"/>
      <c r="E1131" s="27"/>
      <c r="F1131" s="28"/>
      <c r="G1131" s="29"/>
    </row>
    <row r="1132" spans="2:7" x14ac:dyDescent="0.25">
      <c r="B1132" s="25"/>
      <c r="C1132" s="24"/>
      <c r="D1132" s="26"/>
      <c r="E1132" s="27"/>
      <c r="F1132" s="28"/>
      <c r="G1132" s="29"/>
    </row>
    <row r="1133" spans="2:7" x14ac:dyDescent="0.25">
      <c r="B1133" s="25"/>
      <c r="C1133" s="24"/>
      <c r="D1133" s="26"/>
      <c r="E1133" s="27"/>
      <c r="F1133" s="28"/>
      <c r="G1133" s="29"/>
    </row>
    <row r="1134" spans="2:7" x14ac:dyDescent="0.25">
      <c r="B1134" s="25"/>
      <c r="C1134" s="24"/>
      <c r="D1134" s="26"/>
      <c r="E1134" s="27"/>
      <c r="F1134" s="28"/>
      <c r="G1134" s="29"/>
    </row>
    <row r="1135" spans="2:7" x14ac:dyDescent="0.25">
      <c r="B1135" s="25"/>
      <c r="C1135" s="24"/>
      <c r="D1135" s="26"/>
      <c r="E1135" s="27"/>
      <c r="F1135" s="28"/>
      <c r="G1135" s="29"/>
    </row>
    <row r="1136" spans="2:7" x14ac:dyDescent="0.25">
      <c r="B1136" s="25"/>
      <c r="C1136" s="24"/>
      <c r="D1136" s="26"/>
      <c r="E1136" s="27"/>
      <c r="F1136" s="28"/>
      <c r="G1136" s="29"/>
    </row>
    <row r="1137" spans="2:7" x14ac:dyDescent="0.25">
      <c r="B1137" s="25"/>
      <c r="C1137" s="24"/>
      <c r="D1137" s="26"/>
      <c r="E1137" s="27"/>
      <c r="F1137" s="28"/>
      <c r="G1137" s="29"/>
    </row>
    <row r="1138" spans="2:7" x14ac:dyDescent="0.25">
      <c r="B1138" s="25"/>
      <c r="C1138" s="24"/>
      <c r="D1138" s="26"/>
      <c r="E1138" s="27"/>
      <c r="F1138" s="28"/>
      <c r="G1138" s="29"/>
    </row>
    <row r="1139" spans="2:7" x14ac:dyDescent="0.25">
      <c r="B1139" s="25"/>
      <c r="C1139" s="24"/>
      <c r="D1139" s="26"/>
      <c r="E1139" s="27"/>
      <c r="F1139" s="28"/>
      <c r="G1139" s="29"/>
    </row>
    <row r="1140" spans="2:7" x14ac:dyDescent="0.25">
      <c r="B1140" s="25"/>
      <c r="C1140" s="24"/>
      <c r="D1140" s="26"/>
      <c r="E1140" s="27"/>
      <c r="F1140" s="28"/>
      <c r="G1140" s="29"/>
    </row>
    <row r="1141" spans="2:7" x14ac:dyDescent="0.25">
      <c r="B1141" s="25"/>
      <c r="C1141" s="24"/>
      <c r="D1141" s="26"/>
      <c r="E1141" s="27"/>
      <c r="F1141" s="28"/>
      <c r="G1141" s="29"/>
    </row>
    <row r="1142" spans="2:7" x14ac:dyDescent="0.25">
      <c r="B1142" s="25"/>
      <c r="C1142" s="24"/>
      <c r="D1142" s="26"/>
      <c r="E1142" s="27"/>
      <c r="F1142" s="28"/>
      <c r="G1142" s="29"/>
    </row>
    <row r="1143" spans="2:7" x14ac:dyDescent="0.25">
      <c r="B1143" s="25"/>
      <c r="C1143" s="24"/>
      <c r="D1143" s="26"/>
      <c r="E1143" s="27"/>
      <c r="F1143" s="28"/>
      <c r="G1143" s="29"/>
    </row>
    <row r="1144" spans="2:7" x14ac:dyDescent="0.25">
      <c r="B1144" s="25"/>
      <c r="C1144" s="24"/>
      <c r="D1144" s="26"/>
      <c r="E1144" s="27"/>
      <c r="F1144" s="28"/>
      <c r="G1144" s="29"/>
    </row>
    <row r="1145" spans="2:7" x14ac:dyDescent="0.25">
      <c r="B1145" s="25"/>
      <c r="C1145" s="24"/>
      <c r="D1145" s="26"/>
      <c r="E1145" s="27"/>
      <c r="F1145" s="28"/>
      <c r="G1145" s="29"/>
    </row>
    <row r="1146" spans="2:7" x14ac:dyDescent="0.25">
      <c r="B1146" s="25"/>
      <c r="C1146" s="24"/>
      <c r="D1146" s="26"/>
      <c r="E1146" s="27"/>
      <c r="F1146" s="28"/>
      <c r="G1146" s="29"/>
    </row>
    <row r="1147" spans="2:7" x14ac:dyDescent="0.25">
      <c r="B1147" s="25"/>
      <c r="C1147" s="24"/>
      <c r="D1147" s="26"/>
      <c r="E1147" s="27"/>
      <c r="F1147" s="28"/>
      <c r="G1147" s="29"/>
    </row>
    <row r="1148" spans="2:7" x14ac:dyDescent="0.25">
      <c r="B1148" s="25"/>
      <c r="C1148" s="24"/>
      <c r="D1148" s="26"/>
      <c r="E1148" s="27"/>
      <c r="F1148" s="28"/>
      <c r="G1148" s="29"/>
    </row>
    <row r="1149" spans="2:7" x14ac:dyDescent="0.25">
      <c r="B1149" s="25"/>
      <c r="C1149" s="24"/>
      <c r="D1149" s="26"/>
      <c r="E1149" s="27"/>
      <c r="F1149" s="28"/>
      <c r="G1149" s="29"/>
    </row>
    <row r="1150" spans="2:7" x14ac:dyDescent="0.25">
      <c r="B1150" s="25"/>
      <c r="C1150" s="24"/>
      <c r="D1150" s="26"/>
      <c r="E1150" s="27"/>
      <c r="F1150" s="28"/>
      <c r="G1150" s="29"/>
    </row>
    <row r="1151" spans="2:7" x14ac:dyDescent="0.25">
      <c r="B1151" s="25"/>
      <c r="C1151" s="24"/>
      <c r="D1151" s="26"/>
      <c r="E1151" s="27"/>
      <c r="F1151" s="28"/>
      <c r="G1151" s="29"/>
    </row>
    <row r="1152" spans="2:7" x14ac:dyDescent="0.25">
      <c r="B1152" s="25"/>
      <c r="C1152" s="24"/>
      <c r="D1152" s="26"/>
      <c r="E1152" s="27"/>
      <c r="F1152" s="28"/>
      <c r="G1152" s="29"/>
    </row>
    <row r="1153" spans="2:7" x14ac:dyDescent="0.25">
      <c r="B1153" s="25"/>
      <c r="C1153" s="24"/>
      <c r="D1153" s="26"/>
      <c r="E1153" s="27"/>
      <c r="F1153" s="28"/>
      <c r="G1153" s="29"/>
    </row>
    <row r="1154" spans="2:7" x14ac:dyDescent="0.25">
      <c r="B1154" s="25"/>
      <c r="C1154" s="24"/>
      <c r="D1154" s="26"/>
      <c r="E1154" s="27"/>
      <c r="F1154" s="28"/>
      <c r="G1154" s="29"/>
    </row>
    <row r="1155" spans="2:7" x14ac:dyDescent="0.25">
      <c r="B1155" s="25"/>
      <c r="C1155" s="24"/>
      <c r="D1155" s="26"/>
      <c r="E1155" s="27"/>
      <c r="F1155" s="28"/>
      <c r="G1155" s="29"/>
    </row>
    <row r="1156" spans="2:7" x14ac:dyDescent="0.25">
      <c r="B1156" s="25"/>
      <c r="C1156" s="24"/>
      <c r="D1156" s="26"/>
      <c r="E1156" s="27"/>
      <c r="F1156" s="28"/>
      <c r="G1156" s="29"/>
    </row>
    <row r="1157" spans="2:7" x14ac:dyDescent="0.25">
      <c r="B1157" s="25"/>
      <c r="C1157" s="24"/>
      <c r="D1157" s="26"/>
      <c r="E1157" s="27"/>
      <c r="F1157" s="28"/>
      <c r="G1157" s="29"/>
    </row>
    <row r="1158" spans="2:7" x14ac:dyDescent="0.25">
      <c r="B1158" s="25"/>
      <c r="C1158" s="24"/>
      <c r="D1158" s="26"/>
      <c r="E1158" s="27"/>
      <c r="F1158" s="28"/>
      <c r="G1158" s="29"/>
    </row>
    <row r="1159" spans="2:7" x14ac:dyDescent="0.25">
      <c r="B1159" s="25"/>
      <c r="C1159" s="24"/>
      <c r="D1159" s="26"/>
      <c r="E1159" s="27"/>
      <c r="F1159" s="28"/>
      <c r="G1159" s="29"/>
    </row>
    <row r="1160" spans="2:7" x14ac:dyDescent="0.25">
      <c r="B1160" s="25"/>
      <c r="C1160" s="24"/>
      <c r="D1160" s="26"/>
      <c r="E1160" s="27"/>
      <c r="F1160" s="28"/>
      <c r="G1160" s="29"/>
    </row>
    <row r="1161" spans="2:7" x14ac:dyDescent="0.25">
      <c r="B1161" s="25"/>
      <c r="C1161" s="24"/>
      <c r="D1161" s="26"/>
      <c r="E1161" s="27"/>
      <c r="F1161" s="28"/>
      <c r="G1161" s="29"/>
    </row>
    <row r="1162" spans="2:7" x14ac:dyDescent="0.25">
      <c r="B1162" s="25"/>
      <c r="C1162" s="24"/>
      <c r="D1162" s="26"/>
      <c r="E1162" s="27"/>
      <c r="F1162" s="28"/>
      <c r="G1162" s="29"/>
    </row>
    <row r="1163" spans="2:7" x14ac:dyDescent="0.25">
      <c r="B1163" s="25"/>
      <c r="C1163" s="24"/>
      <c r="D1163" s="26"/>
      <c r="E1163" s="27"/>
      <c r="F1163" s="28"/>
      <c r="G1163" s="29"/>
    </row>
    <row r="1164" spans="2:7" x14ac:dyDescent="0.25">
      <c r="B1164" s="25"/>
      <c r="C1164" s="24"/>
      <c r="D1164" s="26"/>
      <c r="E1164" s="27"/>
      <c r="F1164" s="28"/>
      <c r="G1164" s="29"/>
    </row>
    <row r="1165" spans="2:7" x14ac:dyDescent="0.25">
      <c r="B1165" s="25"/>
      <c r="C1165" s="24"/>
      <c r="D1165" s="26"/>
      <c r="E1165" s="27"/>
      <c r="F1165" s="28"/>
      <c r="G1165" s="29"/>
    </row>
    <row r="1166" spans="2:7" x14ac:dyDescent="0.25">
      <c r="B1166" s="25"/>
      <c r="C1166" s="24"/>
      <c r="D1166" s="26"/>
      <c r="E1166" s="27"/>
      <c r="F1166" s="28"/>
      <c r="G1166" s="29"/>
    </row>
    <row r="1167" spans="2:7" x14ac:dyDescent="0.25">
      <c r="B1167" s="25"/>
      <c r="C1167" s="24"/>
      <c r="D1167" s="26"/>
      <c r="E1167" s="27"/>
      <c r="F1167" s="28"/>
      <c r="G1167" s="29"/>
    </row>
    <row r="1168" spans="2:7" x14ac:dyDescent="0.25">
      <c r="B1168" s="25"/>
      <c r="C1168" s="24"/>
      <c r="D1168" s="26"/>
      <c r="E1168" s="27"/>
      <c r="F1168" s="28"/>
      <c r="G1168" s="29"/>
    </row>
    <row r="1169" spans="2:7" x14ac:dyDescent="0.25">
      <c r="B1169" s="25"/>
      <c r="C1169" s="24"/>
      <c r="D1169" s="26"/>
      <c r="E1169" s="27"/>
      <c r="F1169" s="28"/>
      <c r="G1169" s="29"/>
    </row>
    <row r="1170" spans="2:7" x14ac:dyDescent="0.25">
      <c r="B1170" s="25"/>
      <c r="C1170" s="24"/>
      <c r="D1170" s="26"/>
      <c r="E1170" s="27"/>
      <c r="F1170" s="28"/>
      <c r="G1170" s="29"/>
    </row>
    <row r="1171" spans="2:7" x14ac:dyDescent="0.25">
      <c r="B1171" s="25"/>
      <c r="C1171" s="24"/>
      <c r="D1171" s="26"/>
      <c r="E1171" s="27"/>
      <c r="F1171" s="28"/>
      <c r="G1171" s="29"/>
    </row>
    <row r="1172" spans="2:7" x14ac:dyDescent="0.25">
      <c r="B1172" s="25"/>
      <c r="C1172" s="24"/>
      <c r="D1172" s="26"/>
      <c r="E1172" s="27"/>
      <c r="F1172" s="28"/>
      <c r="G1172" s="29"/>
    </row>
    <row r="1173" spans="2:7" x14ac:dyDescent="0.25">
      <c r="B1173" s="25"/>
      <c r="C1173" s="24"/>
      <c r="D1173" s="26"/>
      <c r="E1173" s="27"/>
      <c r="F1173" s="28"/>
      <c r="G1173" s="29"/>
    </row>
    <row r="1174" spans="2:7" x14ac:dyDescent="0.25">
      <c r="B1174" s="25"/>
      <c r="C1174" s="24"/>
      <c r="D1174" s="26"/>
      <c r="E1174" s="27"/>
      <c r="F1174" s="28"/>
      <c r="G1174" s="29"/>
    </row>
    <row r="1175" spans="2:7" x14ac:dyDescent="0.25">
      <c r="B1175" s="25"/>
      <c r="C1175" s="24"/>
      <c r="D1175" s="26"/>
      <c r="E1175" s="27"/>
      <c r="F1175" s="28"/>
      <c r="G1175" s="29"/>
    </row>
    <row r="1176" spans="2:7" x14ac:dyDescent="0.25">
      <c r="B1176" s="25"/>
      <c r="C1176" s="24"/>
      <c r="D1176" s="26"/>
      <c r="E1176" s="27"/>
      <c r="F1176" s="28"/>
      <c r="G1176" s="29"/>
    </row>
    <row r="1177" spans="2:7" x14ac:dyDescent="0.25">
      <c r="B1177" s="25"/>
      <c r="C1177" s="24"/>
      <c r="D1177" s="26"/>
      <c r="E1177" s="27"/>
      <c r="F1177" s="28"/>
      <c r="G1177" s="29"/>
    </row>
    <row r="1178" spans="2:7" x14ac:dyDescent="0.25">
      <c r="B1178" s="25"/>
      <c r="C1178" s="24"/>
      <c r="D1178" s="26"/>
      <c r="E1178" s="27"/>
      <c r="F1178" s="28"/>
      <c r="G1178" s="29"/>
    </row>
    <row r="1179" spans="2:7" x14ac:dyDescent="0.25">
      <c r="B1179" s="25"/>
      <c r="C1179" s="24"/>
      <c r="D1179" s="26"/>
      <c r="E1179" s="27"/>
      <c r="F1179" s="28"/>
      <c r="G1179" s="29"/>
    </row>
    <row r="1180" spans="2:7" x14ac:dyDescent="0.25">
      <c r="B1180" s="25"/>
      <c r="C1180" s="24"/>
      <c r="D1180" s="26"/>
      <c r="E1180" s="27"/>
      <c r="F1180" s="28"/>
      <c r="G1180" s="29"/>
    </row>
    <row r="1181" spans="2:7" x14ac:dyDescent="0.25">
      <c r="B1181" s="25"/>
      <c r="C1181" s="24"/>
      <c r="D1181" s="26"/>
      <c r="E1181" s="27"/>
      <c r="F1181" s="28"/>
      <c r="G1181" s="29"/>
    </row>
    <row r="1182" spans="2:7" x14ac:dyDescent="0.25">
      <c r="B1182" s="25"/>
      <c r="C1182" s="24"/>
      <c r="D1182" s="26"/>
      <c r="E1182" s="27"/>
      <c r="F1182" s="28"/>
      <c r="G1182" s="29"/>
    </row>
    <row r="1183" spans="2:7" x14ac:dyDescent="0.25">
      <c r="B1183" s="25"/>
      <c r="C1183" s="24"/>
      <c r="D1183" s="26"/>
      <c r="E1183" s="27"/>
      <c r="F1183" s="28"/>
      <c r="G1183" s="29"/>
    </row>
    <row r="1184" spans="2:7" x14ac:dyDescent="0.25">
      <c r="B1184" s="25"/>
      <c r="C1184" s="24"/>
      <c r="D1184" s="26"/>
      <c r="E1184" s="27"/>
      <c r="F1184" s="28"/>
      <c r="G1184" s="29"/>
    </row>
    <row r="1185" spans="2:7" x14ac:dyDescent="0.25">
      <c r="B1185" s="25"/>
      <c r="C1185" s="24"/>
      <c r="D1185" s="26"/>
      <c r="E1185" s="27"/>
      <c r="F1185" s="28"/>
      <c r="G1185" s="29"/>
    </row>
    <row r="1186" spans="2:7" x14ac:dyDescent="0.25">
      <c r="B1186" s="25"/>
      <c r="C1186" s="24"/>
      <c r="D1186" s="26"/>
      <c r="E1186" s="27"/>
      <c r="F1186" s="28"/>
      <c r="G1186" s="29"/>
    </row>
    <row r="1187" spans="2:7" x14ac:dyDescent="0.25">
      <c r="B1187" s="25"/>
      <c r="C1187" s="24"/>
      <c r="D1187" s="26"/>
      <c r="E1187" s="27"/>
      <c r="F1187" s="28"/>
      <c r="G1187" s="29"/>
    </row>
    <row r="1188" spans="2:7" x14ac:dyDescent="0.25">
      <c r="B1188" s="25"/>
      <c r="C1188" s="24"/>
      <c r="D1188" s="26"/>
      <c r="E1188" s="27"/>
      <c r="F1188" s="28"/>
      <c r="G1188" s="29"/>
    </row>
    <row r="1189" spans="2:7" x14ac:dyDescent="0.25">
      <c r="B1189" s="25"/>
      <c r="C1189" s="24"/>
      <c r="D1189" s="26"/>
      <c r="E1189" s="27"/>
      <c r="F1189" s="28"/>
      <c r="G1189" s="29"/>
    </row>
    <row r="1190" spans="2:7" x14ac:dyDescent="0.25">
      <c r="B1190" s="25"/>
      <c r="C1190" s="24"/>
      <c r="D1190" s="26"/>
      <c r="E1190" s="27"/>
      <c r="F1190" s="28"/>
      <c r="G1190" s="29"/>
    </row>
    <row r="1191" spans="2:7" x14ac:dyDescent="0.25">
      <c r="B1191" s="25"/>
      <c r="C1191" s="24"/>
      <c r="D1191" s="26"/>
      <c r="E1191" s="27"/>
      <c r="F1191" s="28"/>
      <c r="G1191" s="29"/>
    </row>
    <row r="1192" spans="2:7" x14ac:dyDescent="0.25">
      <c r="B1192" s="25"/>
      <c r="C1192" s="24"/>
      <c r="D1192" s="26"/>
      <c r="E1192" s="27"/>
      <c r="F1192" s="28"/>
      <c r="G1192" s="29"/>
    </row>
    <row r="1193" spans="2:7" x14ac:dyDescent="0.25">
      <c r="B1193" s="25"/>
      <c r="C1193" s="24"/>
      <c r="D1193" s="26"/>
      <c r="E1193" s="27"/>
      <c r="F1193" s="28"/>
      <c r="G1193" s="29"/>
    </row>
    <row r="1194" spans="2:7" x14ac:dyDescent="0.25">
      <c r="B1194" s="25"/>
      <c r="C1194" s="24"/>
      <c r="D1194" s="26"/>
      <c r="E1194" s="27"/>
      <c r="F1194" s="28"/>
      <c r="G1194" s="29"/>
    </row>
    <row r="1195" spans="2:7" x14ac:dyDescent="0.25">
      <c r="B1195" s="25"/>
      <c r="C1195" s="24"/>
      <c r="D1195" s="26"/>
      <c r="E1195" s="27"/>
      <c r="F1195" s="28"/>
      <c r="G1195" s="29"/>
    </row>
    <row r="1196" spans="2:7" x14ac:dyDescent="0.25">
      <c r="B1196" s="25"/>
      <c r="C1196" s="24"/>
      <c r="D1196" s="26"/>
      <c r="E1196" s="27"/>
      <c r="F1196" s="28"/>
      <c r="G1196" s="29"/>
    </row>
    <row r="1197" spans="2:7" x14ac:dyDescent="0.25">
      <c r="B1197" s="25"/>
      <c r="C1197" s="24"/>
      <c r="D1197" s="26"/>
      <c r="E1197" s="27"/>
      <c r="F1197" s="28"/>
      <c r="G1197" s="29"/>
    </row>
    <row r="1198" spans="2:7" x14ac:dyDescent="0.25">
      <c r="B1198" s="25"/>
      <c r="C1198" s="24"/>
      <c r="D1198" s="26"/>
      <c r="E1198" s="27"/>
      <c r="F1198" s="28"/>
      <c r="G1198" s="29"/>
    </row>
    <row r="1199" spans="2:7" x14ac:dyDescent="0.25">
      <c r="B1199" s="25"/>
      <c r="C1199" s="24"/>
      <c r="D1199" s="26"/>
      <c r="E1199" s="27"/>
      <c r="F1199" s="28"/>
      <c r="G1199" s="29"/>
    </row>
    <row r="1200" spans="2:7" x14ac:dyDescent="0.25">
      <c r="B1200" s="25"/>
      <c r="C1200" s="24"/>
      <c r="D1200" s="26"/>
      <c r="E1200" s="27"/>
      <c r="F1200" s="28"/>
      <c r="G1200" s="29"/>
    </row>
    <row r="1201" spans="2:7" x14ac:dyDescent="0.25">
      <c r="B1201" s="25"/>
      <c r="C1201" s="24"/>
      <c r="D1201" s="26"/>
      <c r="E1201" s="27"/>
      <c r="F1201" s="28"/>
      <c r="G1201" s="29"/>
    </row>
    <row r="1202" spans="2:7" x14ac:dyDescent="0.25">
      <c r="B1202" s="25"/>
      <c r="C1202" s="24"/>
      <c r="D1202" s="26"/>
      <c r="E1202" s="27"/>
      <c r="F1202" s="28"/>
      <c r="G1202" s="29"/>
    </row>
    <row r="1203" spans="2:7" x14ac:dyDescent="0.25">
      <c r="B1203" s="25"/>
      <c r="C1203" s="24"/>
      <c r="D1203" s="26"/>
      <c r="E1203" s="27"/>
      <c r="F1203" s="28"/>
      <c r="G1203" s="29"/>
    </row>
    <row r="1204" spans="2:7" x14ac:dyDescent="0.25">
      <c r="B1204" s="25"/>
      <c r="C1204" s="24"/>
      <c r="D1204" s="26"/>
      <c r="E1204" s="27"/>
      <c r="F1204" s="28"/>
      <c r="G1204" s="29"/>
    </row>
    <row r="1205" spans="2:7" x14ac:dyDescent="0.25">
      <c r="B1205" s="25"/>
      <c r="C1205" s="24"/>
      <c r="D1205" s="26"/>
      <c r="E1205" s="27"/>
      <c r="F1205" s="28"/>
      <c r="G1205" s="29"/>
    </row>
    <row r="1206" spans="2:7" x14ac:dyDescent="0.25">
      <c r="B1206" s="25"/>
      <c r="C1206" s="24"/>
      <c r="D1206" s="26"/>
      <c r="E1206" s="27"/>
      <c r="F1206" s="28"/>
      <c r="G1206" s="29"/>
    </row>
    <row r="1207" spans="2:7" x14ac:dyDescent="0.25">
      <c r="B1207" s="25"/>
      <c r="C1207" s="24"/>
      <c r="D1207" s="26"/>
      <c r="E1207" s="27"/>
      <c r="F1207" s="28"/>
      <c r="G1207" s="29"/>
    </row>
    <row r="1208" spans="2:7" x14ac:dyDescent="0.25">
      <c r="B1208" s="25"/>
      <c r="C1208" s="24"/>
      <c r="D1208" s="26"/>
      <c r="E1208" s="27"/>
      <c r="F1208" s="28"/>
      <c r="G1208" s="29"/>
    </row>
    <row r="1209" spans="2:7" x14ac:dyDescent="0.25">
      <c r="B1209" s="25"/>
      <c r="C1209" s="24"/>
      <c r="D1209" s="26"/>
      <c r="E1209" s="27"/>
      <c r="F1209" s="28"/>
      <c r="G1209" s="29"/>
    </row>
    <row r="1210" spans="2:7" x14ac:dyDescent="0.25">
      <c r="B1210" s="25"/>
      <c r="C1210" s="24"/>
      <c r="D1210" s="26"/>
      <c r="E1210" s="27"/>
      <c r="F1210" s="28"/>
      <c r="G1210" s="29"/>
    </row>
    <row r="1211" spans="2:7" x14ac:dyDescent="0.25">
      <c r="B1211" s="25"/>
      <c r="C1211" s="24"/>
      <c r="D1211" s="26"/>
      <c r="E1211" s="27"/>
      <c r="F1211" s="28"/>
      <c r="G1211" s="29"/>
    </row>
    <row r="1212" spans="2:7" x14ac:dyDescent="0.25">
      <c r="B1212" s="25"/>
      <c r="C1212" s="24"/>
      <c r="D1212" s="26"/>
      <c r="E1212" s="27"/>
      <c r="F1212" s="28"/>
      <c r="G1212" s="29"/>
    </row>
    <row r="1213" spans="2:7" x14ac:dyDescent="0.25">
      <c r="B1213" s="25"/>
      <c r="C1213" s="24"/>
      <c r="D1213" s="26"/>
      <c r="E1213" s="27"/>
      <c r="F1213" s="28"/>
      <c r="G1213" s="29"/>
    </row>
    <row r="1214" spans="2:7" x14ac:dyDescent="0.25">
      <c r="B1214" s="25"/>
      <c r="C1214" s="24"/>
      <c r="D1214" s="26"/>
      <c r="E1214" s="27"/>
      <c r="F1214" s="28"/>
      <c r="G1214" s="29"/>
    </row>
    <row r="1215" spans="2:7" x14ac:dyDescent="0.25">
      <c r="B1215" s="25"/>
      <c r="C1215" s="24"/>
      <c r="D1215" s="26"/>
      <c r="E1215" s="27"/>
      <c r="F1215" s="28"/>
      <c r="G1215" s="29"/>
    </row>
    <row r="1216" spans="2:7" x14ac:dyDescent="0.25">
      <c r="B1216" s="25"/>
      <c r="C1216" s="24"/>
      <c r="D1216" s="26"/>
      <c r="E1216" s="27"/>
      <c r="F1216" s="28"/>
      <c r="G1216" s="29"/>
    </row>
    <row r="1217" spans="2:7" x14ac:dyDescent="0.25">
      <c r="B1217" s="25"/>
      <c r="C1217" s="24"/>
      <c r="D1217" s="26"/>
      <c r="E1217" s="27"/>
      <c r="F1217" s="28"/>
      <c r="G1217" s="29"/>
    </row>
    <row r="1218" spans="2:7" x14ac:dyDescent="0.25">
      <c r="B1218" s="25"/>
      <c r="C1218" s="24"/>
      <c r="D1218" s="26"/>
      <c r="E1218" s="27"/>
      <c r="F1218" s="28"/>
      <c r="G1218" s="29"/>
    </row>
    <row r="1219" spans="2:7" x14ac:dyDescent="0.25">
      <c r="B1219" s="25"/>
      <c r="C1219" s="24"/>
      <c r="D1219" s="26"/>
      <c r="E1219" s="27"/>
      <c r="F1219" s="28"/>
      <c r="G1219" s="29"/>
    </row>
    <row r="1220" spans="2:7" x14ac:dyDescent="0.25">
      <c r="B1220" s="25"/>
      <c r="C1220" s="24"/>
      <c r="D1220" s="26"/>
      <c r="E1220" s="27"/>
      <c r="F1220" s="28"/>
      <c r="G1220" s="29"/>
    </row>
    <row r="1221" spans="2:7" x14ac:dyDescent="0.25">
      <c r="B1221" s="25"/>
      <c r="C1221" s="24"/>
      <c r="D1221" s="26"/>
      <c r="E1221" s="27"/>
      <c r="F1221" s="28"/>
      <c r="G1221" s="29"/>
    </row>
    <row r="1222" spans="2:7" x14ac:dyDescent="0.25">
      <c r="B1222" s="25"/>
      <c r="C1222" s="24"/>
      <c r="D1222" s="26"/>
      <c r="E1222" s="27"/>
      <c r="F1222" s="28"/>
      <c r="G1222" s="29"/>
    </row>
    <row r="1223" spans="2:7" x14ac:dyDescent="0.25">
      <c r="B1223" s="25"/>
      <c r="C1223" s="24"/>
      <c r="D1223" s="26"/>
      <c r="E1223" s="27"/>
      <c r="F1223" s="28"/>
      <c r="G1223" s="29"/>
    </row>
    <row r="1224" spans="2:7" x14ac:dyDescent="0.25">
      <c r="B1224" s="25"/>
      <c r="C1224" s="24"/>
      <c r="D1224" s="26"/>
      <c r="E1224" s="27"/>
      <c r="F1224" s="28"/>
      <c r="G1224" s="29"/>
    </row>
    <row r="1225" spans="2:7" x14ac:dyDescent="0.25">
      <c r="B1225" s="25"/>
      <c r="C1225" s="24"/>
      <c r="D1225" s="26"/>
      <c r="E1225" s="27"/>
      <c r="F1225" s="28"/>
      <c r="G1225" s="29"/>
    </row>
    <row r="1226" spans="2:7" x14ac:dyDescent="0.25">
      <c r="B1226" s="25"/>
      <c r="C1226" s="24"/>
      <c r="D1226" s="26"/>
      <c r="E1226" s="27"/>
      <c r="F1226" s="28"/>
      <c r="G1226" s="29"/>
    </row>
    <row r="1227" spans="2:7" x14ac:dyDescent="0.25">
      <c r="B1227" s="25"/>
      <c r="C1227" s="24"/>
      <c r="D1227" s="26"/>
      <c r="E1227" s="27"/>
      <c r="F1227" s="28"/>
      <c r="G1227" s="29"/>
    </row>
    <row r="1228" spans="2:7" x14ac:dyDescent="0.25">
      <c r="B1228" s="25"/>
      <c r="C1228" s="24"/>
      <c r="D1228" s="26"/>
      <c r="E1228" s="27"/>
      <c r="F1228" s="28"/>
      <c r="G1228" s="29"/>
    </row>
    <row r="1229" spans="2:7" x14ac:dyDescent="0.25">
      <c r="B1229" s="25"/>
      <c r="C1229" s="24"/>
      <c r="D1229" s="26"/>
      <c r="E1229" s="27"/>
      <c r="F1229" s="28"/>
      <c r="G1229" s="29"/>
    </row>
    <row r="1230" spans="2:7" x14ac:dyDescent="0.25">
      <c r="B1230" s="25"/>
      <c r="C1230" s="24"/>
      <c r="D1230" s="26"/>
      <c r="E1230" s="27"/>
      <c r="F1230" s="28"/>
      <c r="G1230" s="29"/>
    </row>
    <row r="1231" spans="2:7" x14ac:dyDescent="0.25">
      <c r="B1231" s="25"/>
      <c r="C1231" s="24"/>
      <c r="D1231" s="26"/>
      <c r="E1231" s="27"/>
      <c r="F1231" s="28"/>
      <c r="G1231" s="29"/>
    </row>
    <row r="1232" spans="2:7" x14ac:dyDescent="0.25">
      <c r="B1232" s="25"/>
      <c r="C1232" s="24"/>
      <c r="D1232" s="26"/>
      <c r="E1232" s="27"/>
      <c r="F1232" s="28"/>
      <c r="G1232" s="29"/>
    </row>
    <row r="1233" spans="2:7" x14ac:dyDescent="0.25">
      <c r="B1233" s="25"/>
      <c r="C1233" s="24"/>
      <c r="D1233" s="26"/>
      <c r="E1233" s="27"/>
      <c r="F1233" s="28"/>
      <c r="G1233" s="29"/>
    </row>
    <row r="1234" spans="2:7" x14ac:dyDescent="0.25">
      <c r="B1234" s="25"/>
      <c r="C1234" s="24"/>
      <c r="D1234" s="26"/>
      <c r="E1234" s="27"/>
      <c r="F1234" s="28"/>
      <c r="G1234" s="29"/>
    </row>
    <row r="1235" spans="2:7" x14ac:dyDescent="0.25">
      <c r="B1235" s="25"/>
      <c r="C1235" s="24"/>
      <c r="D1235" s="26"/>
      <c r="E1235" s="27"/>
      <c r="F1235" s="28"/>
      <c r="G1235" s="29"/>
    </row>
    <row r="1236" spans="2:7" x14ac:dyDescent="0.25">
      <c r="B1236" s="25"/>
      <c r="C1236" s="24"/>
      <c r="D1236" s="26"/>
      <c r="E1236" s="27"/>
      <c r="F1236" s="28"/>
      <c r="G1236" s="29"/>
    </row>
    <row r="1237" spans="2:7" x14ac:dyDescent="0.25">
      <c r="B1237" s="25"/>
      <c r="C1237" s="24"/>
      <c r="D1237" s="26"/>
      <c r="E1237" s="27"/>
      <c r="F1237" s="28"/>
      <c r="G1237" s="29"/>
    </row>
    <row r="1238" spans="2:7" x14ac:dyDescent="0.25">
      <c r="B1238" s="25"/>
      <c r="C1238" s="24"/>
      <c r="D1238" s="26"/>
      <c r="E1238" s="27"/>
      <c r="F1238" s="28"/>
      <c r="G1238" s="29"/>
    </row>
    <row r="1239" spans="2:7" x14ac:dyDescent="0.25">
      <c r="B1239" s="25"/>
      <c r="C1239" s="24"/>
      <c r="D1239" s="26"/>
      <c r="E1239" s="27"/>
      <c r="F1239" s="28"/>
      <c r="G1239" s="29"/>
    </row>
    <row r="1240" spans="2:7" x14ac:dyDescent="0.25">
      <c r="B1240" s="25"/>
      <c r="C1240" s="24"/>
      <c r="D1240" s="26"/>
      <c r="E1240" s="27"/>
      <c r="F1240" s="28"/>
      <c r="G1240" s="29"/>
    </row>
    <row r="1241" spans="2:7" x14ac:dyDescent="0.25">
      <c r="B1241" s="25"/>
      <c r="C1241" s="24"/>
      <c r="D1241" s="26"/>
      <c r="E1241" s="27"/>
      <c r="F1241" s="28"/>
      <c r="G1241" s="29"/>
    </row>
    <row r="1242" spans="2:7" x14ac:dyDescent="0.25">
      <c r="B1242" s="25"/>
      <c r="C1242" s="24"/>
      <c r="D1242" s="26"/>
      <c r="E1242" s="27"/>
      <c r="F1242" s="28"/>
      <c r="G1242" s="29"/>
    </row>
    <row r="1243" spans="2:7" x14ac:dyDescent="0.25">
      <c r="B1243" s="25"/>
      <c r="C1243" s="24"/>
      <c r="D1243" s="26"/>
      <c r="E1243" s="27"/>
      <c r="F1243" s="28"/>
      <c r="G1243" s="29"/>
    </row>
    <row r="1244" spans="2:7" x14ac:dyDescent="0.25">
      <c r="B1244" s="25"/>
      <c r="C1244" s="24"/>
      <c r="D1244" s="26"/>
      <c r="E1244" s="27"/>
      <c r="F1244" s="28"/>
      <c r="G1244" s="29"/>
    </row>
    <row r="1245" spans="2:7" x14ac:dyDescent="0.25">
      <c r="B1245" s="25"/>
      <c r="C1245" s="24"/>
      <c r="D1245" s="26"/>
      <c r="E1245" s="27"/>
      <c r="F1245" s="28"/>
      <c r="G1245" s="29"/>
    </row>
    <row r="1246" spans="2:7" x14ac:dyDescent="0.25">
      <c r="B1246" s="25"/>
      <c r="C1246" s="24"/>
      <c r="D1246" s="26"/>
      <c r="E1246" s="27"/>
      <c r="F1246" s="28"/>
      <c r="G1246" s="29"/>
    </row>
    <row r="1247" spans="2:7" x14ac:dyDescent="0.25">
      <c r="B1247" s="25"/>
      <c r="C1247" s="24"/>
      <c r="D1247" s="26"/>
      <c r="E1247" s="27"/>
      <c r="F1247" s="28"/>
      <c r="G1247" s="29"/>
    </row>
    <row r="1248" spans="2:7" x14ac:dyDescent="0.25">
      <c r="B1248" s="25"/>
      <c r="C1248" s="24"/>
      <c r="D1248" s="26"/>
      <c r="E1248" s="27"/>
      <c r="F1248" s="28"/>
      <c r="G1248" s="29"/>
    </row>
    <row r="1249" spans="2:7" x14ac:dyDescent="0.25">
      <c r="B1249" s="25"/>
      <c r="C1249" s="24"/>
      <c r="D1249" s="26"/>
      <c r="E1249" s="27"/>
      <c r="F1249" s="28"/>
      <c r="G1249" s="29"/>
    </row>
    <row r="1250" spans="2:7" x14ac:dyDescent="0.25">
      <c r="B1250" s="25"/>
      <c r="C1250" s="24"/>
      <c r="D1250" s="26"/>
      <c r="E1250" s="27"/>
      <c r="F1250" s="28"/>
      <c r="G1250" s="29"/>
    </row>
    <row r="1251" spans="2:7" x14ac:dyDescent="0.25">
      <c r="B1251" s="25"/>
      <c r="C1251" s="24"/>
      <c r="D1251" s="26"/>
      <c r="E1251" s="27"/>
      <c r="F1251" s="28"/>
      <c r="G1251" s="29"/>
    </row>
    <row r="1252" spans="2:7" x14ac:dyDescent="0.25">
      <c r="B1252" s="25"/>
      <c r="C1252" s="24"/>
      <c r="D1252" s="26"/>
      <c r="E1252" s="27"/>
      <c r="F1252" s="28"/>
      <c r="G1252" s="29"/>
    </row>
    <row r="1253" spans="2:7" x14ac:dyDescent="0.25">
      <c r="B1253" s="25"/>
      <c r="C1253" s="24"/>
      <c r="D1253" s="26"/>
      <c r="E1253" s="27"/>
      <c r="F1253" s="28"/>
      <c r="G1253" s="29"/>
    </row>
    <row r="1254" spans="2:7" x14ac:dyDescent="0.25">
      <c r="B1254" s="25"/>
      <c r="C1254" s="24"/>
      <c r="D1254" s="26"/>
      <c r="E1254" s="27"/>
      <c r="F1254" s="28"/>
      <c r="G1254" s="29"/>
    </row>
    <row r="1255" spans="2:7" x14ac:dyDescent="0.25">
      <c r="B1255" s="25"/>
      <c r="C1255" s="24"/>
      <c r="D1255" s="26"/>
      <c r="E1255" s="27"/>
      <c r="F1255" s="28"/>
      <c r="G1255" s="29"/>
    </row>
    <row r="1256" spans="2:7" x14ac:dyDescent="0.25">
      <c r="B1256" s="25"/>
      <c r="C1256" s="24"/>
      <c r="D1256" s="26"/>
      <c r="E1256" s="27"/>
      <c r="F1256" s="28"/>
      <c r="G1256" s="29"/>
    </row>
    <row r="1257" spans="2:7" x14ac:dyDescent="0.25">
      <c r="B1257" s="25"/>
      <c r="C1257" s="24"/>
      <c r="D1257" s="26"/>
      <c r="E1257" s="27"/>
      <c r="F1257" s="28"/>
      <c r="G1257" s="29"/>
    </row>
    <row r="1258" spans="2:7" x14ac:dyDescent="0.25">
      <c r="B1258" s="25"/>
      <c r="C1258" s="24"/>
      <c r="D1258" s="26"/>
      <c r="E1258" s="27"/>
      <c r="F1258" s="28"/>
      <c r="G1258" s="29"/>
    </row>
    <row r="1259" spans="2:7" x14ac:dyDescent="0.25">
      <c r="B1259" s="25"/>
      <c r="C1259" s="24"/>
      <c r="D1259" s="26"/>
      <c r="E1259" s="27"/>
      <c r="F1259" s="28"/>
      <c r="G1259" s="29"/>
    </row>
    <row r="1260" spans="2:7" x14ac:dyDescent="0.25">
      <c r="B1260" s="25"/>
      <c r="C1260" s="24"/>
      <c r="D1260" s="26"/>
      <c r="E1260" s="27"/>
      <c r="F1260" s="28"/>
      <c r="G1260" s="29"/>
    </row>
    <row r="1261" spans="2:7" x14ac:dyDescent="0.25">
      <c r="B1261" s="25"/>
      <c r="C1261" s="24"/>
      <c r="D1261" s="26"/>
      <c r="E1261" s="27"/>
      <c r="F1261" s="28"/>
      <c r="G1261" s="29"/>
    </row>
    <row r="1262" spans="2:7" x14ac:dyDescent="0.25">
      <c r="B1262" s="25"/>
      <c r="C1262" s="24"/>
      <c r="D1262" s="26"/>
      <c r="E1262" s="27"/>
      <c r="F1262" s="28"/>
      <c r="G1262" s="29"/>
    </row>
    <row r="1263" spans="2:7" x14ac:dyDescent="0.25">
      <c r="B1263" s="25"/>
      <c r="C1263" s="24"/>
      <c r="D1263" s="26"/>
      <c r="E1263" s="27"/>
      <c r="F1263" s="28"/>
      <c r="G1263" s="29"/>
    </row>
    <row r="1264" spans="2:7" x14ac:dyDescent="0.25">
      <c r="B1264" s="25"/>
      <c r="C1264" s="24"/>
      <c r="D1264" s="26"/>
      <c r="E1264" s="27"/>
      <c r="F1264" s="28"/>
      <c r="G1264" s="29"/>
    </row>
    <row r="1265" spans="2:7" x14ac:dyDescent="0.25">
      <c r="B1265" s="25"/>
      <c r="C1265" s="24"/>
      <c r="D1265" s="26"/>
      <c r="E1265" s="27"/>
      <c r="F1265" s="28"/>
      <c r="G1265" s="29"/>
    </row>
    <row r="1266" spans="2:7" x14ac:dyDescent="0.25">
      <c r="B1266" s="25"/>
      <c r="C1266" s="24"/>
      <c r="D1266" s="26"/>
      <c r="E1266" s="27"/>
      <c r="F1266" s="28"/>
      <c r="G1266" s="29"/>
    </row>
    <row r="1267" spans="2:7" x14ac:dyDescent="0.25">
      <c r="B1267" s="25"/>
      <c r="C1267" s="24"/>
      <c r="D1267" s="26"/>
      <c r="E1267" s="27"/>
      <c r="F1267" s="28"/>
      <c r="G1267" s="29"/>
    </row>
    <row r="1268" spans="2:7" x14ac:dyDescent="0.25">
      <c r="B1268" s="25"/>
      <c r="C1268" s="24"/>
      <c r="D1268" s="26"/>
      <c r="E1268" s="27"/>
      <c r="F1268" s="28"/>
      <c r="G1268" s="29"/>
    </row>
    <row r="1269" spans="2:7" x14ac:dyDescent="0.25">
      <c r="B1269" s="25"/>
      <c r="C1269" s="24"/>
      <c r="D1269" s="26"/>
      <c r="E1269" s="27"/>
      <c r="F1269" s="28"/>
      <c r="G1269" s="29"/>
    </row>
    <row r="1270" spans="2:7" x14ac:dyDescent="0.25">
      <c r="B1270" s="25"/>
      <c r="C1270" s="24"/>
      <c r="D1270" s="26"/>
      <c r="E1270" s="27"/>
      <c r="F1270" s="28"/>
      <c r="G1270" s="29"/>
    </row>
    <row r="1271" spans="2:7" x14ac:dyDescent="0.25">
      <c r="B1271" s="25"/>
      <c r="C1271" s="24"/>
      <c r="D1271" s="26"/>
      <c r="E1271" s="27"/>
      <c r="F1271" s="28"/>
      <c r="G1271" s="29"/>
    </row>
    <row r="1272" spans="2:7" x14ac:dyDescent="0.25">
      <c r="B1272" s="25"/>
      <c r="C1272" s="24"/>
      <c r="D1272" s="26"/>
      <c r="E1272" s="27"/>
      <c r="F1272" s="28"/>
      <c r="G1272" s="29"/>
    </row>
    <row r="1273" spans="2:7" x14ac:dyDescent="0.25">
      <c r="B1273" s="25"/>
      <c r="C1273" s="24"/>
      <c r="D1273" s="26"/>
      <c r="E1273" s="27"/>
      <c r="F1273" s="28"/>
      <c r="G1273" s="29"/>
    </row>
    <row r="1274" spans="2:7" x14ac:dyDescent="0.25">
      <c r="B1274" s="25"/>
      <c r="C1274" s="24"/>
      <c r="D1274" s="26"/>
      <c r="E1274" s="27"/>
      <c r="F1274" s="28"/>
      <c r="G1274" s="29"/>
    </row>
    <row r="1275" spans="2:7" x14ac:dyDescent="0.25">
      <c r="B1275" s="25"/>
      <c r="C1275" s="24"/>
      <c r="D1275" s="26"/>
      <c r="E1275" s="27"/>
      <c r="F1275" s="28"/>
      <c r="G1275" s="29"/>
    </row>
    <row r="1276" spans="2:7" x14ac:dyDescent="0.25">
      <c r="B1276" s="25"/>
      <c r="C1276" s="24"/>
      <c r="D1276" s="26"/>
      <c r="E1276" s="27"/>
      <c r="F1276" s="28"/>
      <c r="G1276" s="29"/>
    </row>
    <row r="1277" spans="2:7" x14ac:dyDescent="0.25">
      <c r="B1277" s="25"/>
      <c r="C1277" s="24"/>
      <c r="D1277" s="26"/>
      <c r="E1277" s="27"/>
      <c r="F1277" s="28"/>
      <c r="G1277" s="29"/>
    </row>
    <row r="1278" spans="2:7" x14ac:dyDescent="0.25">
      <c r="B1278" s="25"/>
      <c r="C1278" s="24"/>
      <c r="D1278" s="26"/>
      <c r="E1278" s="27"/>
      <c r="F1278" s="28"/>
      <c r="G1278" s="29"/>
    </row>
    <row r="1279" spans="2:7" x14ac:dyDescent="0.25">
      <c r="B1279" s="25"/>
      <c r="C1279" s="24"/>
      <c r="D1279" s="26"/>
      <c r="E1279" s="27"/>
      <c r="F1279" s="28"/>
      <c r="G1279" s="29"/>
    </row>
    <row r="1280" spans="2:7" x14ac:dyDescent="0.25">
      <c r="B1280" s="25"/>
      <c r="C1280" s="24"/>
      <c r="D1280" s="26"/>
      <c r="E1280" s="27"/>
      <c r="F1280" s="28"/>
      <c r="G1280" s="29"/>
    </row>
    <row r="1281" spans="2:7" x14ac:dyDescent="0.25">
      <c r="B1281" s="25"/>
      <c r="C1281" s="24"/>
      <c r="D1281" s="26"/>
      <c r="E1281" s="27"/>
      <c r="F1281" s="28"/>
      <c r="G1281" s="29"/>
    </row>
    <row r="1282" spans="2:7" x14ac:dyDescent="0.25">
      <c r="B1282" s="25"/>
      <c r="C1282" s="24"/>
      <c r="D1282" s="26"/>
      <c r="E1282" s="27"/>
      <c r="F1282" s="28"/>
      <c r="G1282" s="29"/>
    </row>
    <row r="1283" spans="2:7" x14ac:dyDescent="0.25">
      <c r="B1283" s="25"/>
      <c r="C1283" s="24"/>
      <c r="D1283" s="26"/>
      <c r="E1283" s="27"/>
      <c r="F1283" s="28"/>
      <c r="G1283" s="29"/>
    </row>
    <row r="1284" spans="2:7" x14ac:dyDescent="0.25">
      <c r="B1284" s="25"/>
      <c r="C1284" s="24"/>
      <c r="D1284" s="26"/>
      <c r="E1284" s="27"/>
      <c r="F1284" s="28"/>
      <c r="G1284" s="29"/>
    </row>
    <row r="1285" spans="2:7" x14ac:dyDescent="0.25">
      <c r="B1285" s="25"/>
      <c r="C1285" s="24"/>
      <c r="D1285" s="26"/>
      <c r="E1285" s="27"/>
      <c r="F1285" s="28"/>
      <c r="G1285" s="29"/>
    </row>
    <row r="1286" spans="2:7" x14ac:dyDescent="0.25">
      <c r="B1286" s="25"/>
      <c r="C1286" s="24"/>
      <c r="D1286" s="26"/>
      <c r="E1286" s="27"/>
      <c r="F1286" s="28"/>
      <c r="G1286" s="29"/>
    </row>
    <row r="1287" spans="2:7" x14ac:dyDescent="0.25">
      <c r="B1287" s="25"/>
      <c r="C1287" s="24"/>
      <c r="D1287" s="26"/>
      <c r="E1287" s="27"/>
      <c r="F1287" s="28"/>
      <c r="G1287" s="29"/>
    </row>
    <row r="1288" spans="2:7" x14ac:dyDescent="0.25">
      <c r="B1288" s="25"/>
      <c r="C1288" s="24"/>
      <c r="D1288" s="26"/>
      <c r="E1288" s="27"/>
      <c r="F1288" s="28"/>
      <c r="G1288" s="29"/>
    </row>
    <row r="1289" spans="2:7" x14ac:dyDescent="0.25">
      <c r="B1289" s="25"/>
      <c r="C1289" s="24"/>
      <c r="D1289" s="26"/>
      <c r="E1289" s="27"/>
      <c r="F1289" s="28"/>
      <c r="G1289" s="29"/>
    </row>
    <row r="1290" spans="2:7" x14ac:dyDescent="0.25">
      <c r="B1290" s="25"/>
      <c r="C1290" s="24"/>
      <c r="D1290" s="26"/>
      <c r="E1290" s="27"/>
      <c r="F1290" s="28"/>
      <c r="G1290" s="29"/>
    </row>
    <row r="1291" spans="2:7" x14ac:dyDescent="0.25">
      <c r="B1291" s="25"/>
      <c r="C1291" s="24"/>
      <c r="D1291" s="26"/>
      <c r="E1291" s="27"/>
      <c r="F1291" s="28"/>
      <c r="G1291" s="29"/>
    </row>
    <row r="1292" spans="2:7" x14ac:dyDescent="0.25">
      <c r="B1292" s="25"/>
      <c r="C1292" s="24"/>
      <c r="D1292" s="26"/>
      <c r="E1292" s="27"/>
      <c r="F1292" s="28"/>
      <c r="G1292" s="29"/>
    </row>
    <row r="1293" spans="2:7" x14ac:dyDescent="0.25">
      <c r="B1293" s="25"/>
      <c r="C1293" s="24"/>
      <c r="D1293" s="26"/>
      <c r="E1293" s="27"/>
      <c r="F1293" s="28"/>
      <c r="G1293" s="29"/>
    </row>
    <row r="1294" spans="2:7" x14ac:dyDescent="0.25">
      <c r="B1294" s="25"/>
      <c r="C1294" s="24"/>
      <c r="D1294" s="26"/>
      <c r="E1294" s="27"/>
      <c r="F1294" s="28"/>
      <c r="G1294" s="29"/>
    </row>
    <row r="1295" spans="2:7" x14ac:dyDescent="0.25">
      <c r="B1295" s="25"/>
      <c r="C1295" s="24"/>
      <c r="D1295" s="26"/>
      <c r="E1295" s="27"/>
      <c r="F1295" s="28"/>
      <c r="G1295" s="29"/>
    </row>
    <row r="1296" spans="2:7" x14ac:dyDescent="0.25">
      <c r="B1296" s="25"/>
      <c r="C1296" s="24"/>
      <c r="D1296" s="26"/>
      <c r="E1296" s="27"/>
      <c r="F1296" s="28"/>
      <c r="G1296" s="29"/>
    </row>
    <row r="1297" spans="2:7" x14ac:dyDescent="0.25">
      <c r="B1297" s="25"/>
      <c r="C1297" s="24"/>
      <c r="D1297" s="26"/>
      <c r="E1297" s="27"/>
      <c r="F1297" s="28"/>
      <c r="G1297" s="29"/>
    </row>
    <row r="1298" spans="2:7" x14ac:dyDescent="0.25">
      <c r="B1298" s="25"/>
      <c r="C1298" s="24"/>
      <c r="D1298" s="26"/>
      <c r="E1298" s="27"/>
      <c r="F1298" s="28"/>
      <c r="G1298" s="29"/>
    </row>
    <row r="1299" spans="2:7" x14ac:dyDescent="0.25">
      <c r="B1299" s="25"/>
      <c r="C1299" s="24"/>
      <c r="D1299" s="26"/>
      <c r="E1299" s="27"/>
      <c r="F1299" s="28"/>
      <c r="G1299" s="29"/>
    </row>
    <row r="1300" spans="2:7" x14ac:dyDescent="0.25">
      <c r="B1300" s="25"/>
      <c r="C1300" s="24"/>
      <c r="D1300" s="26"/>
      <c r="E1300" s="27"/>
      <c r="F1300" s="28"/>
      <c r="G1300" s="29"/>
    </row>
    <row r="1301" spans="2:7" x14ac:dyDescent="0.25">
      <c r="B1301" s="25"/>
      <c r="C1301" s="24"/>
      <c r="D1301" s="26"/>
      <c r="E1301" s="27"/>
      <c r="F1301" s="28"/>
      <c r="G1301" s="29"/>
    </row>
    <row r="1302" spans="2:7" x14ac:dyDescent="0.25">
      <c r="B1302" s="25"/>
      <c r="C1302" s="24"/>
      <c r="D1302" s="26"/>
      <c r="E1302" s="27"/>
      <c r="F1302" s="28"/>
      <c r="G1302" s="29"/>
    </row>
    <row r="1303" spans="2:7" x14ac:dyDescent="0.25">
      <c r="B1303" s="25"/>
      <c r="C1303" s="24"/>
      <c r="D1303" s="26"/>
      <c r="E1303" s="27"/>
      <c r="F1303" s="28"/>
      <c r="G1303" s="29"/>
    </row>
    <row r="1304" spans="2:7" x14ac:dyDescent="0.25">
      <c r="B1304" s="25"/>
      <c r="C1304" s="24"/>
      <c r="D1304" s="26"/>
      <c r="E1304" s="27"/>
      <c r="F1304" s="28"/>
      <c r="G1304" s="29"/>
    </row>
    <row r="1305" spans="2:7" x14ac:dyDescent="0.25">
      <c r="B1305" s="25"/>
      <c r="C1305" s="24"/>
      <c r="D1305" s="26"/>
      <c r="E1305" s="27"/>
      <c r="F1305" s="28"/>
      <c r="G1305" s="29"/>
    </row>
    <row r="1306" spans="2:7" x14ac:dyDescent="0.25">
      <c r="B1306" s="25"/>
      <c r="C1306" s="24"/>
      <c r="D1306" s="26"/>
      <c r="E1306" s="27"/>
      <c r="F1306" s="28"/>
      <c r="G1306" s="29"/>
    </row>
    <row r="1307" spans="2:7" x14ac:dyDescent="0.25">
      <c r="B1307" s="25"/>
      <c r="C1307" s="24"/>
      <c r="D1307" s="26"/>
      <c r="E1307" s="27"/>
      <c r="F1307" s="28"/>
      <c r="G1307" s="29"/>
    </row>
    <row r="1308" spans="2:7" x14ac:dyDescent="0.25">
      <c r="B1308" s="25"/>
      <c r="C1308" s="24"/>
      <c r="D1308" s="26"/>
      <c r="E1308" s="27"/>
      <c r="F1308" s="28"/>
      <c r="G1308" s="29"/>
    </row>
    <row r="1309" spans="2:7" x14ac:dyDescent="0.25">
      <c r="B1309" s="25"/>
      <c r="C1309" s="24"/>
      <c r="D1309" s="26"/>
      <c r="E1309" s="27"/>
      <c r="F1309" s="28"/>
      <c r="G1309" s="29"/>
    </row>
    <row r="1310" spans="2:7" x14ac:dyDescent="0.25">
      <c r="B1310" s="25"/>
      <c r="C1310" s="24"/>
      <c r="D1310" s="26"/>
      <c r="E1310" s="27"/>
      <c r="F1310" s="28"/>
      <c r="G1310" s="29"/>
    </row>
    <row r="1311" spans="2:7" x14ac:dyDescent="0.25">
      <c r="B1311" s="25"/>
      <c r="C1311" s="24"/>
      <c r="D1311" s="26"/>
      <c r="E1311" s="27"/>
      <c r="F1311" s="28"/>
      <c r="G1311" s="29"/>
    </row>
    <row r="1312" spans="2:7" x14ac:dyDescent="0.25">
      <c r="B1312" s="25"/>
      <c r="C1312" s="24"/>
      <c r="D1312" s="26"/>
      <c r="E1312" s="27"/>
      <c r="F1312" s="28"/>
      <c r="G1312" s="29"/>
    </row>
    <row r="1313" spans="2:7" x14ac:dyDescent="0.25">
      <c r="B1313" s="25"/>
      <c r="C1313" s="24"/>
      <c r="D1313" s="26"/>
      <c r="E1313" s="27"/>
      <c r="F1313" s="28"/>
      <c r="G1313" s="29"/>
    </row>
    <row r="1314" spans="2:7" x14ac:dyDescent="0.25">
      <c r="B1314" s="25"/>
      <c r="C1314" s="24"/>
      <c r="D1314" s="26"/>
      <c r="E1314" s="27"/>
      <c r="F1314" s="28"/>
      <c r="G1314" s="29"/>
    </row>
    <row r="1315" spans="2:7" x14ac:dyDescent="0.25">
      <c r="B1315" s="25"/>
      <c r="C1315" s="24"/>
      <c r="D1315" s="26"/>
      <c r="E1315" s="27"/>
      <c r="F1315" s="28"/>
      <c r="G1315" s="29"/>
    </row>
    <row r="1316" spans="2:7" x14ac:dyDescent="0.25">
      <c r="B1316" s="25"/>
      <c r="C1316" s="24"/>
      <c r="D1316" s="26"/>
      <c r="E1316" s="27"/>
      <c r="F1316" s="28"/>
      <c r="G1316" s="29"/>
    </row>
    <row r="1317" spans="2:7" x14ac:dyDescent="0.25">
      <c r="B1317" s="25"/>
      <c r="C1317" s="24"/>
      <c r="D1317" s="26"/>
      <c r="E1317" s="27"/>
      <c r="F1317" s="28"/>
      <c r="G1317" s="29"/>
    </row>
    <row r="1318" spans="2:7" x14ac:dyDescent="0.25">
      <c r="B1318" s="25"/>
      <c r="C1318" s="24"/>
      <c r="D1318" s="26"/>
      <c r="E1318" s="27"/>
      <c r="F1318" s="28"/>
      <c r="G1318" s="29"/>
    </row>
    <row r="1319" spans="2:7" x14ac:dyDescent="0.25">
      <c r="B1319" s="25"/>
      <c r="C1319" s="24"/>
      <c r="D1319" s="26"/>
      <c r="E1319" s="27"/>
      <c r="F1319" s="28"/>
      <c r="G1319" s="29"/>
    </row>
    <row r="1320" spans="2:7" x14ac:dyDescent="0.25">
      <c r="B1320" s="25"/>
      <c r="C1320" s="24"/>
      <c r="D1320" s="26"/>
      <c r="E1320" s="27"/>
      <c r="F1320" s="28"/>
      <c r="G1320" s="29"/>
    </row>
    <row r="1321" spans="2:7" x14ac:dyDescent="0.25">
      <c r="B1321" s="25"/>
      <c r="C1321" s="24"/>
      <c r="D1321" s="26"/>
      <c r="E1321" s="27"/>
      <c r="F1321" s="28"/>
      <c r="G1321" s="29"/>
    </row>
    <row r="1322" spans="2:7" x14ac:dyDescent="0.25">
      <c r="B1322" s="25"/>
      <c r="C1322" s="24"/>
      <c r="D1322" s="26"/>
      <c r="E1322" s="27"/>
      <c r="F1322" s="28"/>
      <c r="G1322" s="29"/>
    </row>
    <row r="1323" spans="2:7" x14ac:dyDescent="0.25">
      <c r="B1323" s="25"/>
      <c r="C1323" s="24"/>
      <c r="D1323" s="26"/>
      <c r="E1323" s="27"/>
      <c r="F1323" s="28"/>
      <c r="G1323" s="29"/>
    </row>
    <row r="1324" spans="2:7" x14ac:dyDescent="0.25">
      <c r="B1324" s="25"/>
      <c r="C1324" s="24"/>
      <c r="D1324" s="26"/>
      <c r="E1324" s="27"/>
      <c r="F1324" s="28"/>
      <c r="G1324" s="29"/>
    </row>
    <row r="1325" spans="2:7" x14ac:dyDescent="0.25">
      <c r="B1325" s="25"/>
      <c r="C1325" s="24"/>
      <c r="D1325" s="26"/>
      <c r="E1325" s="27"/>
      <c r="F1325" s="28"/>
      <c r="G1325" s="29"/>
    </row>
    <row r="1326" spans="2:7" x14ac:dyDescent="0.25">
      <c r="B1326" s="25"/>
      <c r="C1326" s="24"/>
      <c r="D1326" s="26"/>
      <c r="E1326" s="27"/>
      <c r="F1326" s="28"/>
      <c r="G1326" s="29"/>
    </row>
    <row r="1327" spans="2:7" x14ac:dyDescent="0.25">
      <c r="B1327" s="25"/>
      <c r="C1327" s="24"/>
      <c r="D1327" s="26"/>
      <c r="E1327" s="27"/>
      <c r="F1327" s="28"/>
      <c r="G1327" s="29"/>
    </row>
    <row r="1328" spans="2:7" x14ac:dyDescent="0.25">
      <c r="B1328" s="25"/>
      <c r="C1328" s="24"/>
      <c r="D1328" s="26"/>
      <c r="E1328" s="27"/>
      <c r="F1328" s="28"/>
      <c r="G1328" s="29"/>
    </row>
    <row r="1329" spans="2:7" x14ac:dyDescent="0.25">
      <c r="B1329" s="25"/>
      <c r="C1329" s="24"/>
      <c r="D1329" s="26"/>
      <c r="E1329" s="27"/>
      <c r="F1329" s="28"/>
      <c r="G1329" s="29"/>
    </row>
    <row r="1330" spans="2:7" x14ac:dyDescent="0.25">
      <c r="B1330" s="25"/>
      <c r="C1330" s="24"/>
      <c r="D1330" s="26"/>
      <c r="E1330" s="27"/>
      <c r="F1330" s="28"/>
      <c r="G1330" s="29"/>
    </row>
    <row r="1331" spans="2:7" x14ac:dyDescent="0.25">
      <c r="B1331" s="25"/>
      <c r="C1331" s="24"/>
      <c r="D1331" s="26"/>
      <c r="E1331" s="27"/>
      <c r="F1331" s="28"/>
      <c r="G1331" s="29"/>
    </row>
    <row r="1332" spans="2:7" x14ac:dyDescent="0.25">
      <c r="B1332" s="25"/>
      <c r="C1332" s="24"/>
      <c r="D1332" s="26"/>
      <c r="E1332" s="27"/>
      <c r="F1332" s="28"/>
      <c r="G1332" s="29"/>
    </row>
    <row r="1333" spans="2:7" x14ac:dyDescent="0.25">
      <c r="B1333" s="25"/>
      <c r="C1333" s="24"/>
      <c r="D1333" s="26"/>
      <c r="E1333" s="27"/>
      <c r="F1333" s="28"/>
      <c r="G1333" s="29"/>
    </row>
    <row r="1334" spans="2:7" x14ac:dyDescent="0.25">
      <c r="B1334" s="25"/>
      <c r="C1334" s="24"/>
      <c r="D1334" s="26"/>
      <c r="E1334" s="27"/>
      <c r="F1334" s="28"/>
      <c r="G1334" s="29"/>
    </row>
    <row r="1335" spans="2:7" x14ac:dyDescent="0.25">
      <c r="B1335" s="25"/>
      <c r="C1335" s="24"/>
      <c r="D1335" s="26"/>
      <c r="E1335" s="27"/>
      <c r="F1335" s="28"/>
      <c r="G1335" s="29"/>
    </row>
    <row r="1336" spans="2:7" x14ac:dyDescent="0.25">
      <c r="B1336" s="25"/>
      <c r="C1336" s="24"/>
      <c r="D1336" s="26"/>
      <c r="E1336" s="27"/>
      <c r="F1336" s="28"/>
      <c r="G1336" s="29"/>
    </row>
    <row r="1337" spans="2:7" x14ac:dyDescent="0.25">
      <c r="B1337" s="25"/>
      <c r="C1337" s="24"/>
      <c r="D1337" s="26"/>
      <c r="E1337" s="27"/>
      <c r="F1337" s="28"/>
      <c r="G1337" s="29"/>
    </row>
    <row r="1338" spans="2:7" x14ac:dyDescent="0.25">
      <c r="B1338" s="25"/>
      <c r="C1338" s="24"/>
      <c r="D1338" s="26"/>
      <c r="E1338" s="27"/>
      <c r="F1338" s="28"/>
      <c r="G1338" s="29"/>
    </row>
    <row r="1339" spans="2:7" x14ac:dyDescent="0.25">
      <c r="B1339" s="25"/>
      <c r="C1339" s="24"/>
      <c r="D1339" s="26"/>
      <c r="E1339" s="27"/>
      <c r="F1339" s="28"/>
      <c r="G1339" s="29"/>
    </row>
    <row r="1340" spans="2:7" x14ac:dyDescent="0.25">
      <c r="B1340" s="25"/>
      <c r="C1340" s="24"/>
      <c r="D1340" s="26"/>
      <c r="E1340" s="27"/>
      <c r="F1340" s="28"/>
      <c r="G1340" s="29"/>
    </row>
    <row r="1341" spans="2:7" x14ac:dyDescent="0.25">
      <c r="B1341" s="25"/>
      <c r="C1341" s="24"/>
      <c r="D1341" s="26"/>
      <c r="E1341" s="27"/>
      <c r="F1341" s="28"/>
      <c r="G1341" s="29"/>
    </row>
    <row r="1342" spans="2:7" x14ac:dyDescent="0.25">
      <c r="B1342" s="25"/>
      <c r="C1342" s="24"/>
      <c r="D1342" s="26"/>
      <c r="E1342" s="27"/>
      <c r="F1342" s="28"/>
      <c r="G1342" s="29"/>
    </row>
    <row r="1343" spans="2:7" x14ac:dyDescent="0.25">
      <c r="B1343" s="25"/>
      <c r="C1343" s="24"/>
      <c r="D1343" s="26"/>
      <c r="E1343" s="27"/>
      <c r="F1343" s="28"/>
      <c r="G1343" s="29"/>
    </row>
    <row r="1344" spans="2:7" x14ac:dyDescent="0.25">
      <c r="B1344" s="25"/>
      <c r="C1344" s="24"/>
      <c r="D1344" s="26"/>
      <c r="E1344" s="27"/>
      <c r="F1344" s="28"/>
      <c r="G1344" s="29"/>
    </row>
    <row r="1345" spans="2:7" x14ac:dyDescent="0.25">
      <c r="B1345" s="25"/>
      <c r="C1345" s="24"/>
      <c r="D1345" s="26"/>
      <c r="E1345" s="27"/>
      <c r="F1345" s="28"/>
      <c r="G1345" s="29"/>
    </row>
    <row r="1346" spans="2:7" x14ac:dyDescent="0.25">
      <c r="B1346" s="25"/>
      <c r="C1346" s="24"/>
      <c r="D1346" s="26"/>
      <c r="E1346" s="27"/>
      <c r="F1346" s="28"/>
      <c r="G1346" s="29"/>
    </row>
    <row r="1347" spans="2:7" x14ac:dyDescent="0.25">
      <c r="B1347" s="25"/>
      <c r="C1347" s="24"/>
      <c r="D1347" s="26"/>
      <c r="E1347" s="27"/>
      <c r="F1347" s="28"/>
      <c r="G1347" s="29"/>
    </row>
    <row r="1348" spans="2:7" x14ac:dyDescent="0.25">
      <c r="B1348" s="25"/>
      <c r="C1348" s="24"/>
      <c r="D1348" s="26"/>
      <c r="E1348" s="27"/>
      <c r="F1348" s="28"/>
      <c r="G1348" s="29"/>
    </row>
    <row r="1349" spans="2:7" x14ac:dyDescent="0.25">
      <c r="B1349" s="25"/>
      <c r="C1349" s="24"/>
      <c r="D1349" s="26"/>
      <c r="E1349" s="27"/>
      <c r="F1349" s="28"/>
      <c r="G1349" s="29"/>
    </row>
    <row r="1350" spans="2:7" x14ac:dyDescent="0.25">
      <c r="B1350" s="25"/>
      <c r="C1350" s="24"/>
      <c r="D1350" s="26"/>
      <c r="E1350" s="27"/>
      <c r="F1350" s="28"/>
      <c r="G1350" s="29"/>
    </row>
    <row r="1351" spans="2:7" x14ac:dyDescent="0.25">
      <c r="B1351" s="25"/>
      <c r="C1351" s="24"/>
      <c r="D1351" s="26"/>
      <c r="E1351" s="27"/>
      <c r="F1351" s="28"/>
      <c r="G1351" s="29"/>
    </row>
    <row r="1352" spans="2:7" x14ac:dyDescent="0.25">
      <c r="B1352" s="25"/>
      <c r="C1352" s="24"/>
      <c r="D1352" s="26"/>
      <c r="E1352" s="27"/>
      <c r="F1352" s="28"/>
      <c r="G1352" s="29"/>
    </row>
    <row r="1353" spans="2:7" x14ac:dyDescent="0.25">
      <c r="B1353" s="25"/>
      <c r="C1353" s="24"/>
      <c r="D1353" s="26"/>
      <c r="E1353" s="27"/>
      <c r="F1353" s="28"/>
      <c r="G1353" s="29"/>
    </row>
    <row r="1354" spans="2:7" x14ac:dyDescent="0.25">
      <c r="B1354" s="25"/>
      <c r="C1354" s="24"/>
      <c r="D1354" s="26"/>
      <c r="E1354" s="27"/>
      <c r="F1354" s="28"/>
      <c r="G1354" s="29"/>
    </row>
    <row r="1355" spans="2:7" x14ac:dyDescent="0.25">
      <c r="B1355" s="25"/>
      <c r="C1355" s="24"/>
      <c r="D1355" s="26"/>
      <c r="E1355" s="27"/>
      <c r="F1355" s="28"/>
      <c r="G1355" s="29"/>
    </row>
    <row r="1356" spans="2:7" x14ac:dyDescent="0.25">
      <c r="B1356" s="25"/>
      <c r="C1356" s="24"/>
      <c r="D1356" s="26"/>
      <c r="E1356" s="27"/>
      <c r="F1356" s="28"/>
      <c r="G1356" s="29"/>
    </row>
    <row r="1357" spans="2:7" x14ac:dyDescent="0.25">
      <c r="B1357" s="25"/>
      <c r="C1357" s="24"/>
      <c r="D1357" s="26"/>
      <c r="E1357" s="27"/>
      <c r="F1357" s="28"/>
      <c r="G1357" s="29"/>
    </row>
    <row r="1358" spans="2:7" x14ac:dyDescent="0.25">
      <c r="B1358" s="25"/>
      <c r="C1358" s="24"/>
      <c r="D1358" s="26"/>
      <c r="E1358" s="27"/>
      <c r="F1358" s="28"/>
      <c r="G1358" s="29"/>
    </row>
    <row r="1359" spans="2:7" x14ac:dyDescent="0.25">
      <c r="B1359" s="25"/>
      <c r="C1359" s="24"/>
      <c r="D1359" s="26"/>
      <c r="E1359" s="27"/>
      <c r="F1359" s="28"/>
      <c r="G1359" s="29"/>
    </row>
    <row r="1360" spans="2:7" x14ac:dyDescent="0.25">
      <c r="B1360" s="25"/>
      <c r="C1360" s="24"/>
      <c r="D1360" s="26"/>
      <c r="E1360" s="27"/>
      <c r="F1360" s="28"/>
      <c r="G1360" s="29"/>
    </row>
    <row r="1361" spans="2:7" x14ac:dyDescent="0.25">
      <c r="B1361" s="25"/>
      <c r="C1361" s="24"/>
      <c r="D1361" s="26"/>
      <c r="E1361" s="27"/>
      <c r="F1361" s="28"/>
      <c r="G1361" s="29"/>
    </row>
    <row r="1362" spans="2:7" x14ac:dyDescent="0.25">
      <c r="B1362" s="25"/>
      <c r="C1362" s="24"/>
      <c r="D1362" s="26"/>
      <c r="E1362" s="27"/>
      <c r="F1362" s="28"/>
      <c r="G1362" s="29"/>
    </row>
    <row r="1363" spans="2:7" x14ac:dyDescent="0.25">
      <c r="B1363" s="25"/>
      <c r="C1363" s="24"/>
      <c r="D1363" s="26"/>
      <c r="E1363" s="27"/>
      <c r="F1363" s="28"/>
      <c r="G1363" s="29"/>
    </row>
    <row r="1364" spans="2:7" x14ac:dyDescent="0.25">
      <c r="B1364" s="25"/>
      <c r="C1364" s="24"/>
      <c r="D1364" s="26"/>
      <c r="E1364" s="27"/>
      <c r="F1364" s="28"/>
      <c r="G1364" s="29"/>
    </row>
    <row r="1365" spans="2:7" x14ac:dyDescent="0.25">
      <c r="B1365" s="25"/>
      <c r="C1365" s="24"/>
      <c r="D1365" s="26"/>
      <c r="E1365" s="27"/>
      <c r="F1365" s="28"/>
      <c r="G1365" s="29"/>
    </row>
    <row r="1366" spans="2:7" x14ac:dyDescent="0.25">
      <c r="B1366" s="25"/>
      <c r="C1366" s="24"/>
      <c r="D1366" s="26"/>
      <c r="E1366" s="27"/>
      <c r="F1366" s="28"/>
      <c r="G1366" s="29"/>
    </row>
    <row r="1367" spans="2:7" x14ac:dyDescent="0.25">
      <c r="B1367" s="25"/>
      <c r="C1367" s="24"/>
      <c r="D1367" s="26"/>
      <c r="E1367" s="27"/>
      <c r="F1367" s="28"/>
      <c r="G1367" s="29"/>
    </row>
    <row r="1368" spans="2:7" x14ac:dyDescent="0.25">
      <c r="B1368" s="25"/>
      <c r="C1368" s="24"/>
      <c r="D1368" s="26"/>
      <c r="E1368" s="27"/>
      <c r="F1368" s="28"/>
      <c r="G1368" s="29"/>
    </row>
    <row r="1369" spans="2:7" x14ac:dyDescent="0.25">
      <c r="B1369" s="25"/>
      <c r="C1369" s="24"/>
      <c r="D1369" s="26"/>
      <c r="E1369" s="27"/>
      <c r="F1369" s="28"/>
      <c r="G1369" s="29"/>
    </row>
    <row r="1370" spans="2:7" x14ac:dyDescent="0.25">
      <c r="B1370" s="25"/>
      <c r="C1370" s="24"/>
      <c r="D1370" s="26"/>
      <c r="E1370" s="27"/>
      <c r="F1370" s="28"/>
      <c r="G1370" s="29"/>
    </row>
    <row r="1371" spans="2:7" x14ac:dyDescent="0.25">
      <c r="B1371" s="25"/>
      <c r="C1371" s="24"/>
      <c r="D1371" s="26"/>
      <c r="E1371" s="27"/>
      <c r="F1371" s="28"/>
      <c r="G1371" s="29"/>
    </row>
    <row r="1372" spans="2:7" x14ac:dyDescent="0.25">
      <c r="B1372" s="25"/>
      <c r="C1372" s="24"/>
      <c r="D1372" s="26"/>
      <c r="E1372" s="27"/>
      <c r="F1372" s="28"/>
      <c r="G1372" s="29"/>
    </row>
    <row r="1373" spans="2:7" x14ac:dyDescent="0.25">
      <c r="B1373" s="25"/>
      <c r="C1373" s="24"/>
      <c r="D1373" s="26"/>
      <c r="E1373" s="27"/>
      <c r="F1373" s="28"/>
      <c r="G1373" s="29"/>
    </row>
    <row r="1374" spans="2:7" x14ac:dyDescent="0.25">
      <c r="B1374" s="25"/>
      <c r="C1374" s="24"/>
      <c r="D1374" s="26"/>
      <c r="E1374" s="27"/>
      <c r="F1374" s="28"/>
      <c r="G1374" s="29"/>
    </row>
    <row r="1375" spans="2:7" x14ac:dyDescent="0.25">
      <c r="B1375" s="25"/>
      <c r="C1375" s="24"/>
      <c r="D1375" s="26"/>
      <c r="E1375" s="27"/>
      <c r="F1375" s="28"/>
      <c r="G1375" s="29"/>
    </row>
    <row r="1376" spans="2:7" x14ac:dyDescent="0.25">
      <c r="B1376" s="25"/>
      <c r="C1376" s="24"/>
      <c r="D1376" s="26"/>
      <c r="E1376" s="27"/>
      <c r="F1376" s="28"/>
      <c r="G1376" s="29"/>
    </row>
    <row r="1377" spans="2:7" x14ac:dyDescent="0.25">
      <c r="B1377" s="25"/>
      <c r="C1377" s="24"/>
      <c r="D1377" s="26"/>
      <c r="E1377" s="27"/>
      <c r="F1377" s="28"/>
      <c r="G1377" s="29"/>
    </row>
    <row r="1378" spans="2:7" x14ac:dyDescent="0.25">
      <c r="B1378" s="25"/>
      <c r="C1378" s="24"/>
      <c r="D1378" s="26"/>
      <c r="E1378" s="27"/>
      <c r="F1378" s="28"/>
      <c r="G1378" s="29"/>
    </row>
    <row r="1379" spans="2:7" x14ac:dyDescent="0.25">
      <c r="B1379" s="25"/>
      <c r="C1379" s="24"/>
      <c r="D1379" s="26"/>
      <c r="E1379" s="27"/>
      <c r="F1379" s="28"/>
      <c r="G1379" s="29"/>
    </row>
    <row r="1380" spans="2:7" x14ac:dyDescent="0.25">
      <c r="B1380" s="25"/>
      <c r="C1380" s="24"/>
      <c r="D1380" s="26"/>
      <c r="E1380" s="27"/>
      <c r="F1380" s="28"/>
      <c r="G1380" s="29"/>
    </row>
    <row r="1381" spans="2:7" x14ac:dyDescent="0.25">
      <c r="B1381" s="25"/>
      <c r="C1381" s="24"/>
      <c r="D1381" s="26"/>
      <c r="E1381" s="27"/>
      <c r="F1381" s="28"/>
      <c r="G1381" s="29"/>
    </row>
    <row r="1382" spans="2:7" x14ac:dyDescent="0.25">
      <c r="B1382" s="25"/>
      <c r="C1382" s="24"/>
      <c r="D1382" s="26"/>
      <c r="E1382" s="27"/>
      <c r="F1382" s="28"/>
      <c r="G1382" s="29"/>
    </row>
    <row r="1383" spans="2:7" x14ac:dyDescent="0.25">
      <c r="B1383" s="25"/>
      <c r="C1383" s="24"/>
      <c r="D1383" s="26"/>
      <c r="E1383" s="27"/>
      <c r="F1383" s="28"/>
      <c r="G1383" s="29"/>
    </row>
    <row r="1384" spans="2:7" x14ac:dyDescent="0.25">
      <c r="B1384" s="25"/>
      <c r="C1384" s="24"/>
      <c r="D1384" s="26"/>
      <c r="E1384" s="27"/>
      <c r="F1384" s="28"/>
      <c r="G1384" s="29"/>
    </row>
    <row r="1385" spans="2:7" x14ac:dyDescent="0.25">
      <c r="B1385" s="25"/>
      <c r="C1385" s="24"/>
      <c r="D1385" s="26"/>
      <c r="E1385" s="27"/>
      <c r="F1385" s="28"/>
      <c r="G1385" s="29"/>
    </row>
    <row r="1386" spans="2:7" x14ac:dyDescent="0.25">
      <c r="B1386" s="25"/>
      <c r="C1386" s="24"/>
      <c r="D1386" s="26"/>
      <c r="E1386" s="27"/>
      <c r="F1386" s="28"/>
      <c r="G1386" s="29"/>
    </row>
    <row r="1387" spans="2:7" x14ac:dyDescent="0.25">
      <c r="B1387" s="25"/>
      <c r="C1387" s="24"/>
      <c r="D1387" s="26"/>
      <c r="E1387" s="27"/>
      <c r="F1387" s="28"/>
      <c r="G1387" s="29"/>
    </row>
    <row r="1388" spans="2:7" x14ac:dyDescent="0.25">
      <c r="B1388" s="25"/>
      <c r="C1388" s="24"/>
      <c r="D1388" s="26"/>
      <c r="E1388" s="27"/>
      <c r="F1388" s="28"/>
      <c r="G1388" s="29"/>
    </row>
    <row r="1389" spans="2:7" x14ac:dyDescent="0.25">
      <c r="B1389" s="25"/>
      <c r="C1389" s="24"/>
      <c r="D1389" s="26"/>
      <c r="E1389" s="27"/>
      <c r="F1389" s="28"/>
      <c r="G1389" s="29"/>
    </row>
    <row r="1390" spans="2:7" x14ac:dyDescent="0.25">
      <c r="B1390" s="25"/>
      <c r="C1390" s="24"/>
      <c r="D1390" s="26"/>
      <c r="E1390" s="27"/>
      <c r="F1390" s="28"/>
      <c r="G1390" s="29"/>
    </row>
    <row r="1391" spans="2:7" x14ac:dyDescent="0.25">
      <c r="B1391" s="25"/>
      <c r="C1391" s="24"/>
      <c r="D1391" s="26"/>
      <c r="E1391" s="27"/>
      <c r="F1391" s="28"/>
      <c r="G1391" s="29"/>
    </row>
    <row r="1392" spans="2:7" x14ac:dyDescent="0.25">
      <c r="B1392" s="25"/>
      <c r="C1392" s="24"/>
      <c r="D1392" s="26"/>
      <c r="E1392" s="27"/>
      <c r="F1392" s="28"/>
      <c r="G1392" s="29"/>
    </row>
    <row r="1393" spans="2:7" x14ac:dyDescent="0.25">
      <c r="B1393" s="25"/>
      <c r="C1393" s="24"/>
      <c r="D1393" s="26"/>
      <c r="E1393" s="27"/>
      <c r="F1393" s="28"/>
      <c r="G1393" s="29"/>
    </row>
    <row r="1394" spans="2:7" x14ac:dyDescent="0.25">
      <c r="B1394" s="25"/>
      <c r="C1394" s="24"/>
      <c r="D1394" s="26"/>
      <c r="E1394" s="27"/>
      <c r="F1394" s="28"/>
      <c r="G1394" s="29"/>
    </row>
    <row r="1395" spans="2:7" x14ac:dyDescent="0.25">
      <c r="B1395" s="25"/>
      <c r="C1395" s="24"/>
      <c r="D1395" s="26"/>
      <c r="E1395" s="27"/>
      <c r="F1395" s="28"/>
      <c r="G1395" s="29"/>
    </row>
    <row r="1396" spans="2:7" x14ac:dyDescent="0.25">
      <c r="B1396" s="25"/>
      <c r="C1396" s="24"/>
      <c r="D1396" s="26"/>
      <c r="E1396" s="27"/>
      <c r="F1396" s="28"/>
      <c r="G1396" s="29"/>
    </row>
    <row r="1397" spans="2:7" x14ac:dyDescent="0.25">
      <c r="B1397" s="25"/>
      <c r="C1397" s="24"/>
      <c r="D1397" s="26"/>
      <c r="E1397" s="27"/>
      <c r="F1397" s="28"/>
      <c r="G1397" s="29"/>
    </row>
    <row r="1398" spans="2:7" x14ac:dyDescent="0.25">
      <c r="B1398" s="25"/>
      <c r="C1398" s="24"/>
      <c r="D1398" s="26"/>
      <c r="E1398" s="27"/>
      <c r="F1398" s="28"/>
      <c r="G1398" s="29"/>
    </row>
    <row r="1399" spans="2:7" x14ac:dyDescent="0.25">
      <c r="B1399" s="25"/>
      <c r="C1399" s="24"/>
      <c r="D1399" s="26"/>
      <c r="E1399" s="27"/>
      <c r="F1399" s="28"/>
      <c r="G1399" s="29"/>
    </row>
    <row r="1400" spans="2:7" x14ac:dyDescent="0.25">
      <c r="B1400" s="25"/>
      <c r="C1400" s="24"/>
      <c r="D1400" s="26"/>
      <c r="E1400" s="27"/>
      <c r="F1400" s="28"/>
      <c r="G1400" s="29"/>
    </row>
    <row r="1401" spans="2:7" x14ac:dyDescent="0.25">
      <c r="B1401" s="25"/>
      <c r="C1401" s="24"/>
      <c r="D1401" s="26"/>
      <c r="E1401" s="27"/>
      <c r="F1401" s="28"/>
      <c r="G1401" s="29"/>
    </row>
    <row r="1402" spans="2:7" x14ac:dyDescent="0.25">
      <c r="B1402" s="25"/>
      <c r="C1402" s="24"/>
      <c r="D1402" s="26"/>
      <c r="E1402" s="27"/>
      <c r="F1402" s="28"/>
      <c r="G1402" s="29"/>
    </row>
    <row r="1403" spans="2:7" x14ac:dyDescent="0.25">
      <c r="B1403" s="25"/>
      <c r="C1403" s="24"/>
      <c r="D1403" s="26"/>
      <c r="E1403" s="27"/>
      <c r="F1403" s="28"/>
      <c r="G1403" s="29"/>
    </row>
    <row r="1404" spans="2:7" x14ac:dyDescent="0.25">
      <c r="B1404" s="25"/>
      <c r="C1404" s="24"/>
      <c r="D1404" s="26"/>
      <c r="E1404" s="27"/>
      <c r="F1404" s="28"/>
      <c r="G1404" s="29"/>
    </row>
    <row r="1405" spans="2:7" x14ac:dyDescent="0.25">
      <c r="B1405" s="25"/>
      <c r="C1405" s="24"/>
      <c r="D1405" s="26"/>
      <c r="E1405" s="27"/>
      <c r="F1405" s="28"/>
      <c r="G1405" s="29"/>
    </row>
    <row r="1406" spans="2:7" x14ac:dyDescent="0.25">
      <c r="B1406" s="25"/>
      <c r="C1406" s="24"/>
      <c r="D1406" s="26"/>
      <c r="E1406" s="27"/>
      <c r="F1406" s="28"/>
      <c r="G1406" s="29"/>
    </row>
    <row r="1407" spans="2:7" x14ac:dyDescent="0.25">
      <c r="B1407" s="25"/>
      <c r="C1407" s="24"/>
      <c r="D1407" s="26"/>
      <c r="E1407" s="27"/>
      <c r="F1407" s="28"/>
      <c r="G1407" s="29"/>
    </row>
    <row r="1408" spans="2:7" x14ac:dyDescent="0.25">
      <c r="B1408" s="25"/>
      <c r="C1408" s="24"/>
      <c r="D1408" s="26"/>
      <c r="E1408" s="27"/>
      <c r="F1408" s="28"/>
      <c r="G1408" s="29"/>
    </row>
    <row r="1409" spans="2:7" x14ac:dyDescent="0.25">
      <c r="B1409" s="25"/>
      <c r="C1409" s="24"/>
      <c r="D1409" s="26"/>
      <c r="E1409" s="27"/>
      <c r="F1409" s="28"/>
      <c r="G1409" s="29"/>
    </row>
    <row r="1410" spans="2:7" x14ac:dyDescent="0.25">
      <c r="B1410" s="25"/>
      <c r="C1410" s="24"/>
      <c r="D1410" s="26"/>
      <c r="E1410" s="27"/>
      <c r="F1410" s="28"/>
      <c r="G1410" s="29"/>
    </row>
    <row r="1411" spans="2:7" x14ac:dyDescent="0.25">
      <c r="B1411" s="25"/>
      <c r="C1411" s="24"/>
      <c r="D1411" s="26"/>
      <c r="E1411" s="27"/>
      <c r="F1411" s="28"/>
      <c r="G1411" s="29"/>
    </row>
    <row r="1412" spans="2:7" x14ac:dyDescent="0.25">
      <c r="B1412" s="25"/>
      <c r="C1412" s="24"/>
      <c r="D1412" s="26"/>
      <c r="E1412" s="27"/>
      <c r="F1412" s="28"/>
      <c r="G1412" s="29"/>
    </row>
    <row r="1413" spans="2:7" x14ac:dyDescent="0.25">
      <c r="B1413" s="25"/>
      <c r="C1413" s="24"/>
      <c r="D1413" s="26"/>
      <c r="E1413" s="27"/>
      <c r="F1413" s="28"/>
      <c r="G1413" s="29"/>
    </row>
    <row r="1414" spans="2:7" x14ac:dyDescent="0.25">
      <c r="B1414" s="25"/>
      <c r="C1414" s="24"/>
      <c r="D1414" s="26"/>
      <c r="E1414" s="27"/>
      <c r="F1414" s="28"/>
      <c r="G1414" s="29"/>
    </row>
    <row r="1415" spans="2:7" x14ac:dyDescent="0.25">
      <c r="B1415" s="25"/>
      <c r="C1415" s="24"/>
      <c r="D1415" s="26"/>
      <c r="E1415" s="27"/>
      <c r="F1415" s="28"/>
      <c r="G1415" s="29"/>
    </row>
    <row r="1416" spans="2:7" x14ac:dyDescent="0.25">
      <c r="B1416" s="25"/>
      <c r="C1416" s="24"/>
      <c r="D1416" s="26"/>
      <c r="E1416" s="27"/>
      <c r="F1416" s="28"/>
      <c r="G1416" s="29"/>
    </row>
    <row r="1417" spans="2:7" x14ac:dyDescent="0.25">
      <c r="B1417" s="25"/>
      <c r="C1417" s="24"/>
      <c r="D1417" s="26"/>
      <c r="E1417" s="27"/>
      <c r="F1417" s="28"/>
      <c r="G1417" s="29"/>
    </row>
    <row r="1418" spans="2:7" x14ac:dyDescent="0.25">
      <c r="B1418" s="25"/>
      <c r="C1418" s="24"/>
      <c r="D1418" s="26"/>
      <c r="E1418" s="27"/>
      <c r="F1418" s="28"/>
      <c r="G1418" s="29"/>
    </row>
    <row r="1419" spans="2:7" x14ac:dyDescent="0.25">
      <c r="B1419" s="25"/>
      <c r="C1419" s="24"/>
      <c r="D1419" s="26"/>
      <c r="E1419" s="27"/>
      <c r="F1419" s="28"/>
      <c r="G1419" s="29"/>
    </row>
    <row r="1420" spans="2:7" x14ac:dyDescent="0.25">
      <c r="B1420" s="25"/>
      <c r="C1420" s="24"/>
      <c r="D1420" s="26"/>
      <c r="E1420" s="27"/>
      <c r="F1420" s="28"/>
      <c r="G1420" s="29"/>
    </row>
    <row r="1421" spans="2:7" x14ac:dyDescent="0.25">
      <c r="B1421" s="25"/>
      <c r="C1421" s="24"/>
      <c r="D1421" s="26"/>
      <c r="E1421" s="27"/>
      <c r="F1421" s="28"/>
      <c r="G1421" s="29"/>
    </row>
    <row r="1422" spans="2:7" x14ac:dyDescent="0.25">
      <c r="B1422" s="25"/>
      <c r="C1422" s="24"/>
      <c r="D1422" s="26"/>
      <c r="E1422" s="27"/>
      <c r="F1422" s="28"/>
      <c r="G1422" s="29"/>
    </row>
    <row r="1423" spans="2:7" x14ac:dyDescent="0.25">
      <c r="B1423" s="25"/>
      <c r="C1423" s="24"/>
      <c r="D1423" s="26"/>
      <c r="E1423" s="27"/>
      <c r="F1423" s="28"/>
      <c r="G1423" s="29"/>
    </row>
    <row r="1424" spans="2:7" x14ac:dyDescent="0.25">
      <c r="B1424" s="25"/>
      <c r="C1424" s="24"/>
      <c r="D1424" s="26"/>
      <c r="E1424" s="27"/>
      <c r="F1424" s="28"/>
      <c r="G1424" s="29"/>
    </row>
    <row r="1425" spans="2:7" x14ac:dyDescent="0.25">
      <c r="B1425" s="25"/>
      <c r="C1425" s="24"/>
      <c r="D1425" s="26"/>
      <c r="E1425" s="27"/>
      <c r="F1425" s="28"/>
      <c r="G1425" s="29"/>
    </row>
    <row r="1426" spans="2:7" x14ac:dyDescent="0.25">
      <c r="B1426" s="25"/>
      <c r="C1426" s="24"/>
      <c r="D1426" s="26"/>
      <c r="E1426" s="27"/>
      <c r="F1426" s="28"/>
      <c r="G1426" s="29"/>
    </row>
    <row r="1427" spans="2:7" x14ac:dyDescent="0.25">
      <c r="B1427" s="25"/>
      <c r="C1427" s="24"/>
      <c r="D1427" s="26"/>
      <c r="E1427" s="27"/>
      <c r="F1427" s="28"/>
      <c r="G1427" s="29"/>
    </row>
    <row r="1428" spans="2:7" x14ac:dyDescent="0.25">
      <c r="B1428" s="25"/>
      <c r="C1428" s="24"/>
      <c r="D1428" s="26"/>
      <c r="E1428" s="27"/>
      <c r="F1428" s="28"/>
      <c r="G1428" s="29"/>
    </row>
    <row r="1429" spans="2:7" x14ac:dyDescent="0.25">
      <c r="B1429" s="25"/>
      <c r="C1429" s="24"/>
      <c r="D1429" s="26"/>
      <c r="E1429" s="27"/>
      <c r="F1429" s="28"/>
      <c r="G1429" s="29"/>
    </row>
    <row r="1430" spans="2:7" x14ac:dyDescent="0.25">
      <c r="B1430" s="25"/>
      <c r="C1430" s="24"/>
      <c r="D1430" s="26"/>
      <c r="E1430" s="27"/>
      <c r="F1430" s="28"/>
      <c r="G1430" s="29"/>
    </row>
    <row r="1431" spans="2:7" x14ac:dyDescent="0.25">
      <c r="B1431" s="25"/>
      <c r="C1431" s="24"/>
      <c r="D1431" s="26"/>
      <c r="E1431" s="27"/>
      <c r="F1431" s="28"/>
      <c r="G1431" s="29"/>
    </row>
    <row r="1432" spans="2:7" x14ac:dyDescent="0.25">
      <c r="B1432" s="25"/>
      <c r="C1432" s="24"/>
      <c r="D1432" s="26"/>
      <c r="E1432" s="27"/>
      <c r="F1432" s="28"/>
      <c r="G1432" s="29"/>
    </row>
    <row r="1433" spans="2:7" x14ac:dyDescent="0.25">
      <c r="B1433" s="25"/>
      <c r="C1433" s="24"/>
      <c r="D1433" s="26"/>
      <c r="E1433" s="27"/>
      <c r="F1433" s="28"/>
      <c r="G1433" s="29"/>
    </row>
    <row r="1434" spans="2:7" x14ac:dyDescent="0.25">
      <c r="B1434" s="25"/>
      <c r="C1434" s="24"/>
      <c r="D1434" s="26"/>
      <c r="E1434" s="27"/>
      <c r="F1434" s="28"/>
      <c r="G1434" s="29"/>
    </row>
    <row r="1435" spans="2:7" x14ac:dyDescent="0.25">
      <c r="B1435" s="25"/>
      <c r="C1435" s="24"/>
      <c r="D1435" s="26"/>
      <c r="E1435" s="27"/>
      <c r="F1435" s="28"/>
      <c r="G1435" s="29"/>
    </row>
    <row r="1436" spans="2:7" x14ac:dyDescent="0.25">
      <c r="B1436" s="25"/>
      <c r="C1436" s="24"/>
      <c r="D1436" s="26"/>
      <c r="E1436" s="27"/>
      <c r="F1436" s="28"/>
      <c r="G1436" s="29"/>
    </row>
    <row r="1437" spans="2:7" x14ac:dyDescent="0.25">
      <c r="B1437" s="25"/>
      <c r="C1437" s="24"/>
      <c r="D1437" s="26"/>
      <c r="E1437" s="27"/>
      <c r="F1437" s="28"/>
      <c r="G1437" s="29"/>
    </row>
    <row r="1438" spans="2:7" x14ac:dyDescent="0.25">
      <c r="B1438" s="25"/>
      <c r="C1438" s="24"/>
      <c r="D1438" s="26"/>
      <c r="E1438" s="27"/>
      <c r="F1438" s="28"/>
      <c r="G1438" s="29"/>
    </row>
    <row r="1439" spans="2:7" x14ac:dyDescent="0.25">
      <c r="B1439" s="25"/>
      <c r="C1439" s="24"/>
      <c r="D1439" s="26"/>
      <c r="E1439" s="27"/>
      <c r="F1439" s="28"/>
      <c r="G1439" s="29"/>
    </row>
    <row r="1440" spans="2:7" x14ac:dyDescent="0.25">
      <c r="B1440" s="25"/>
      <c r="C1440" s="24"/>
      <c r="D1440" s="26"/>
      <c r="E1440" s="27"/>
      <c r="F1440" s="28"/>
      <c r="G1440" s="29"/>
    </row>
    <row r="1441" spans="2:7" x14ac:dyDescent="0.25">
      <c r="B1441" s="25"/>
      <c r="C1441" s="24"/>
      <c r="D1441" s="26"/>
      <c r="E1441" s="27"/>
      <c r="F1441" s="28"/>
      <c r="G1441" s="29"/>
    </row>
    <row r="1442" spans="2:7" x14ac:dyDescent="0.25">
      <c r="B1442" s="25"/>
      <c r="C1442" s="24"/>
      <c r="D1442" s="26"/>
      <c r="E1442" s="27"/>
      <c r="F1442" s="28"/>
      <c r="G1442" s="29"/>
    </row>
    <row r="1443" spans="2:7" x14ac:dyDescent="0.25">
      <c r="B1443" s="25"/>
      <c r="C1443" s="24"/>
      <c r="D1443" s="26"/>
      <c r="E1443" s="27"/>
      <c r="F1443" s="28"/>
      <c r="G1443" s="29"/>
    </row>
    <row r="1444" spans="2:7" x14ac:dyDescent="0.25">
      <c r="B1444" s="25"/>
      <c r="C1444" s="24"/>
      <c r="D1444" s="26"/>
      <c r="E1444" s="27"/>
      <c r="F1444" s="28"/>
      <c r="G1444" s="29"/>
    </row>
    <row r="1445" spans="2:7" x14ac:dyDescent="0.25">
      <c r="B1445" s="25"/>
      <c r="C1445" s="24"/>
      <c r="D1445" s="26"/>
      <c r="E1445" s="27"/>
      <c r="F1445" s="28"/>
      <c r="G1445" s="29"/>
    </row>
    <row r="1446" spans="2:7" x14ac:dyDescent="0.25">
      <c r="B1446" s="25"/>
      <c r="C1446" s="24"/>
      <c r="D1446" s="26"/>
      <c r="E1446" s="27"/>
      <c r="F1446" s="28"/>
      <c r="G1446" s="29"/>
    </row>
    <row r="1447" spans="2:7" x14ac:dyDescent="0.25">
      <c r="B1447" s="25"/>
      <c r="C1447" s="24"/>
      <c r="D1447" s="26"/>
      <c r="E1447" s="27"/>
      <c r="F1447" s="28"/>
      <c r="G1447" s="29"/>
    </row>
    <row r="1448" spans="2:7" x14ac:dyDescent="0.25">
      <c r="B1448" s="25"/>
      <c r="C1448" s="24"/>
      <c r="D1448" s="26"/>
      <c r="E1448" s="27"/>
      <c r="F1448" s="28"/>
      <c r="G1448" s="29"/>
    </row>
    <row r="1449" spans="2:7" x14ac:dyDescent="0.25">
      <c r="B1449" s="25"/>
      <c r="C1449" s="24"/>
      <c r="D1449" s="26"/>
      <c r="E1449" s="27"/>
      <c r="F1449" s="28"/>
      <c r="G1449" s="29"/>
    </row>
    <row r="1450" spans="2:7" x14ac:dyDescent="0.25">
      <c r="B1450" s="25"/>
      <c r="C1450" s="24"/>
      <c r="D1450" s="26"/>
      <c r="E1450" s="27"/>
      <c r="F1450" s="28"/>
      <c r="G1450" s="29"/>
    </row>
    <row r="1451" spans="2:7" x14ac:dyDescent="0.25">
      <c r="B1451" s="25"/>
      <c r="C1451" s="24"/>
      <c r="D1451" s="26"/>
      <c r="E1451" s="27"/>
      <c r="F1451" s="28"/>
      <c r="G1451" s="29"/>
    </row>
    <row r="1452" spans="2:7" x14ac:dyDescent="0.25">
      <c r="B1452" s="25"/>
      <c r="C1452" s="24"/>
      <c r="D1452" s="26"/>
      <c r="E1452" s="27"/>
      <c r="F1452" s="28"/>
      <c r="G1452" s="29"/>
    </row>
    <row r="1453" spans="2:7" x14ac:dyDescent="0.25">
      <c r="B1453" s="25"/>
      <c r="C1453" s="24"/>
      <c r="D1453" s="26"/>
      <c r="E1453" s="27"/>
      <c r="F1453" s="28"/>
      <c r="G1453" s="29"/>
    </row>
    <row r="1454" spans="2:7" x14ac:dyDescent="0.25">
      <c r="B1454" s="25"/>
      <c r="C1454" s="24"/>
      <c r="D1454" s="26"/>
      <c r="E1454" s="27"/>
      <c r="F1454" s="28"/>
      <c r="G1454" s="29"/>
    </row>
    <row r="1455" spans="2:7" x14ac:dyDescent="0.25">
      <c r="B1455" s="25"/>
      <c r="C1455" s="24"/>
      <c r="D1455" s="26"/>
      <c r="E1455" s="27"/>
      <c r="F1455" s="28"/>
      <c r="G1455" s="29"/>
    </row>
    <row r="1456" spans="2:7" x14ac:dyDescent="0.25">
      <c r="B1456" s="25"/>
      <c r="C1456" s="24"/>
      <c r="D1456" s="26"/>
      <c r="E1456" s="27"/>
      <c r="F1456" s="28"/>
      <c r="G1456" s="29"/>
    </row>
    <row r="1457" spans="2:7" x14ac:dyDescent="0.25">
      <c r="B1457" s="25"/>
      <c r="C1457" s="24"/>
      <c r="D1457" s="26"/>
      <c r="E1457" s="27"/>
      <c r="F1457" s="28"/>
      <c r="G1457" s="29"/>
    </row>
    <row r="1458" spans="2:7" x14ac:dyDescent="0.25">
      <c r="B1458" s="25"/>
      <c r="C1458" s="24"/>
      <c r="D1458" s="26"/>
      <c r="E1458" s="27"/>
      <c r="F1458" s="28"/>
      <c r="G1458" s="29"/>
    </row>
    <row r="1459" spans="2:7" x14ac:dyDescent="0.25">
      <c r="B1459" s="25"/>
      <c r="C1459" s="24"/>
      <c r="D1459" s="26"/>
      <c r="E1459" s="27"/>
      <c r="F1459" s="28"/>
      <c r="G1459" s="29"/>
    </row>
    <row r="1460" spans="2:7" x14ac:dyDescent="0.25">
      <c r="B1460" s="25"/>
      <c r="C1460" s="24"/>
      <c r="D1460" s="26"/>
      <c r="E1460" s="27"/>
      <c r="F1460" s="28"/>
      <c r="G1460" s="29"/>
    </row>
    <row r="1461" spans="2:7" x14ac:dyDescent="0.25">
      <c r="B1461" s="25"/>
      <c r="C1461" s="24"/>
      <c r="D1461" s="26"/>
      <c r="E1461" s="27"/>
      <c r="F1461" s="28"/>
      <c r="G1461" s="29"/>
    </row>
    <row r="1462" spans="2:7" x14ac:dyDescent="0.25">
      <c r="B1462" s="25"/>
      <c r="C1462" s="24"/>
      <c r="D1462" s="26"/>
      <c r="E1462" s="27"/>
      <c r="F1462" s="28"/>
      <c r="G1462" s="29"/>
    </row>
    <row r="1463" spans="2:7" x14ac:dyDescent="0.25">
      <c r="B1463" s="25"/>
      <c r="C1463" s="24"/>
      <c r="D1463" s="26"/>
    </row>
    <row r="1464" spans="2:7" x14ac:dyDescent="0.25">
      <c r="B1464" s="25"/>
      <c r="C1464" s="24"/>
      <c r="D1464" s="26"/>
    </row>
    <row r="1465" spans="2:7" x14ac:dyDescent="0.25">
      <c r="B1465" s="25"/>
      <c r="C1465" s="24"/>
      <c r="D1465" s="26"/>
    </row>
    <row r="1466" spans="2:7" x14ac:dyDescent="0.25">
      <c r="B1466" s="25"/>
      <c r="C1466" s="24"/>
      <c r="D1466" s="26"/>
    </row>
    <row r="1467" spans="2:7" x14ac:dyDescent="0.25">
      <c r="B1467" s="25"/>
      <c r="C1467" s="24"/>
      <c r="D1467" s="26"/>
    </row>
    <row r="1468" spans="2:7" x14ac:dyDescent="0.25">
      <c r="B1468" s="25"/>
      <c r="C1468" s="24"/>
      <c r="D1468" s="26"/>
    </row>
    <row r="1469" spans="2:7" x14ac:dyDescent="0.25">
      <c r="B1469" s="25"/>
      <c r="C1469" s="24"/>
      <c r="D1469" s="26"/>
    </row>
    <row r="1470" spans="2:7" x14ac:dyDescent="0.25">
      <c r="B1470" s="25"/>
      <c r="C1470" s="24"/>
      <c r="D1470" s="26"/>
    </row>
    <row r="1471" spans="2:7" x14ac:dyDescent="0.25">
      <c r="B1471" s="25"/>
      <c r="C1471" s="24"/>
      <c r="D1471" s="26"/>
    </row>
    <row r="1472" spans="2:7" x14ac:dyDescent="0.25">
      <c r="B1472" s="25"/>
      <c r="C1472" s="24"/>
      <c r="D1472" s="26"/>
    </row>
    <row r="1473" spans="2:4" x14ac:dyDescent="0.25">
      <c r="B1473" s="25"/>
      <c r="C1473" s="24"/>
      <c r="D1473" s="26"/>
    </row>
    <row r="1474" spans="2:4" x14ac:dyDescent="0.25">
      <c r="B1474" s="25"/>
      <c r="C1474" s="24"/>
      <c r="D1474" s="26"/>
    </row>
    <row r="1475" spans="2:4" x14ac:dyDescent="0.25">
      <c r="B1475" s="25"/>
      <c r="C1475" s="24"/>
      <c r="D1475" s="26"/>
    </row>
    <row r="1476" spans="2:4" x14ac:dyDescent="0.25">
      <c r="B1476" s="25"/>
      <c r="C1476" s="24"/>
      <c r="D1476" s="26"/>
    </row>
    <row r="1477" spans="2:4" x14ac:dyDescent="0.25">
      <c r="B1477" s="25"/>
      <c r="C1477" s="24"/>
      <c r="D1477" s="26"/>
    </row>
    <row r="1478" spans="2:4" x14ac:dyDescent="0.25">
      <c r="B1478" s="25"/>
      <c r="C1478" s="24"/>
      <c r="D1478" s="26"/>
    </row>
    <row r="1479" spans="2:4" x14ac:dyDescent="0.25">
      <c r="B1479" s="25"/>
      <c r="C1479" s="24"/>
      <c r="D1479" s="26"/>
    </row>
    <row r="1480" spans="2:4" x14ac:dyDescent="0.25">
      <c r="B1480" s="25"/>
      <c r="C1480" s="24"/>
      <c r="D1480" s="26"/>
    </row>
    <row r="1481" spans="2:4" x14ac:dyDescent="0.25">
      <c r="B1481" s="25"/>
      <c r="C1481" s="24"/>
      <c r="D1481" s="26"/>
    </row>
    <row r="1482" spans="2:4" x14ac:dyDescent="0.25">
      <c r="B1482" s="25"/>
      <c r="C1482" s="24"/>
      <c r="D1482" s="26"/>
    </row>
    <row r="1483" spans="2:4" x14ac:dyDescent="0.25">
      <c r="B1483" s="25"/>
      <c r="C1483" s="24"/>
      <c r="D1483" s="26"/>
    </row>
    <row r="1484" spans="2:4" x14ac:dyDescent="0.25">
      <c r="B1484" s="25"/>
      <c r="C1484" s="24"/>
      <c r="D1484" s="26"/>
    </row>
    <row r="1485" spans="2:4" x14ac:dyDescent="0.25">
      <c r="B1485" s="25"/>
      <c r="C1485" s="24"/>
      <c r="D1485" s="26"/>
    </row>
    <row r="1486" spans="2:4" x14ac:dyDescent="0.25">
      <c r="B1486" s="25"/>
      <c r="C1486" s="24"/>
      <c r="D1486" s="26"/>
    </row>
    <row r="1487" spans="2:4" x14ac:dyDescent="0.25">
      <c r="B1487" s="25"/>
      <c r="C1487" s="24"/>
      <c r="D1487" s="26"/>
    </row>
    <row r="1488" spans="2:4" x14ac:dyDescent="0.25">
      <c r="B1488" s="25"/>
      <c r="C1488" s="24"/>
      <c r="D1488" s="26"/>
    </row>
    <row r="1489" spans="2:4" x14ac:dyDescent="0.25">
      <c r="B1489" s="25"/>
      <c r="C1489" s="24"/>
      <c r="D1489" s="26"/>
    </row>
    <row r="1490" spans="2:4" x14ac:dyDescent="0.25">
      <c r="B1490" s="25"/>
      <c r="C1490" s="24"/>
      <c r="D1490" s="26"/>
    </row>
    <row r="1491" spans="2:4" x14ac:dyDescent="0.25">
      <c r="B1491" s="25"/>
      <c r="C1491" s="24"/>
      <c r="D1491" s="26"/>
    </row>
    <row r="1492" spans="2:4" x14ac:dyDescent="0.25">
      <c r="B1492" s="25"/>
      <c r="C1492" s="24"/>
      <c r="D1492" s="26"/>
    </row>
    <row r="1493" spans="2:4" x14ac:dyDescent="0.25">
      <c r="B1493" s="25"/>
      <c r="C1493" s="24"/>
      <c r="D1493" s="26"/>
    </row>
    <row r="1494" spans="2:4" x14ac:dyDescent="0.25">
      <c r="B1494" s="25"/>
      <c r="C1494" s="24"/>
      <c r="D1494" s="26"/>
    </row>
    <row r="1495" spans="2:4" x14ac:dyDescent="0.25">
      <c r="B1495" s="25"/>
      <c r="C1495" s="24"/>
      <c r="D1495" s="26"/>
    </row>
    <row r="1496" spans="2:4" x14ac:dyDescent="0.25">
      <c r="B1496" s="25"/>
      <c r="C1496" s="24"/>
      <c r="D1496" s="26"/>
    </row>
    <row r="1497" spans="2:4" x14ac:dyDescent="0.25">
      <c r="B1497" s="25"/>
      <c r="C1497" s="24"/>
      <c r="D1497" s="26"/>
    </row>
    <row r="1498" spans="2:4" x14ac:dyDescent="0.25">
      <c r="B1498" s="25"/>
      <c r="C1498" s="24"/>
      <c r="D1498" s="26"/>
    </row>
    <row r="1499" spans="2:4" x14ac:dyDescent="0.25">
      <c r="B1499" s="25"/>
      <c r="C1499" s="24"/>
      <c r="D1499" s="26"/>
    </row>
    <row r="1500" spans="2:4" x14ac:dyDescent="0.25">
      <c r="B1500" s="25"/>
      <c r="C1500" s="24"/>
      <c r="D1500" s="26"/>
    </row>
    <row r="1501" spans="2:4" x14ac:dyDescent="0.25">
      <c r="B1501" s="25"/>
      <c r="C1501" s="24"/>
      <c r="D1501" s="26"/>
    </row>
    <row r="1502" spans="2:4" x14ac:dyDescent="0.25">
      <c r="B1502" s="25"/>
      <c r="C1502" s="24"/>
      <c r="D1502" s="26"/>
    </row>
    <row r="1503" spans="2:4" x14ac:dyDescent="0.25">
      <c r="B1503" s="25"/>
      <c r="C1503" s="24"/>
      <c r="D1503" s="26"/>
    </row>
    <row r="1504" spans="2:4" x14ac:dyDescent="0.25">
      <c r="B1504" s="25"/>
      <c r="C1504" s="24"/>
      <c r="D1504" s="26"/>
    </row>
    <row r="1505" spans="2:4" x14ac:dyDescent="0.25">
      <c r="B1505" s="25"/>
      <c r="C1505" s="24"/>
      <c r="D1505" s="26"/>
    </row>
    <row r="1506" spans="2:4" x14ac:dyDescent="0.25">
      <c r="B1506" s="25"/>
      <c r="C1506" s="24"/>
      <c r="D1506" s="26"/>
    </row>
    <row r="1507" spans="2:4" x14ac:dyDescent="0.25">
      <c r="B1507" s="25"/>
      <c r="C1507" s="24"/>
      <c r="D1507" s="26"/>
    </row>
    <row r="1508" spans="2:4" x14ac:dyDescent="0.25">
      <c r="B1508" s="25"/>
      <c r="C1508" s="24"/>
      <c r="D1508" s="26"/>
    </row>
    <row r="1509" spans="2:4" x14ac:dyDescent="0.25">
      <c r="B1509" s="25"/>
      <c r="C1509" s="24"/>
      <c r="D1509" s="26"/>
    </row>
    <row r="1510" spans="2:4" x14ac:dyDescent="0.25">
      <c r="B1510" s="25"/>
      <c r="C1510" s="24"/>
      <c r="D1510" s="26"/>
    </row>
    <row r="1511" spans="2:4" x14ac:dyDescent="0.25">
      <c r="B1511" s="25"/>
      <c r="C1511" s="24"/>
      <c r="D1511" s="26"/>
    </row>
    <row r="1512" spans="2:4" x14ac:dyDescent="0.25">
      <c r="B1512" s="25"/>
      <c r="C1512" s="24"/>
      <c r="D1512" s="26"/>
    </row>
    <row r="1513" spans="2:4" x14ac:dyDescent="0.25">
      <c r="B1513" s="25"/>
      <c r="C1513" s="24"/>
      <c r="D1513" s="26"/>
    </row>
    <row r="1514" spans="2:4" x14ac:dyDescent="0.25">
      <c r="B1514" s="25"/>
      <c r="C1514" s="24"/>
      <c r="D1514" s="26"/>
    </row>
    <row r="1515" spans="2:4" x14ac:dyDescent="0.25">
      <c r="B1515" s="25"/>
      <c r="C1515" s="24"/>
      <c r="D1515" s="26"/>
    </row>
    <row r="1516" spans="2:4" x14ac:dyDescent="0.25">
      <c r="B1516" s="25"/>
      <c r="C1516" s="24"/>
      <c r="D1516" s="26"/>
    </row>
    <row r="1517" spans="2:4" x14ac:dyDescent="0.25">
      <c r="B1517" s="25"/>
      <c r="C1517" s="24"/>
      <c r="D1517" s="26"/>
    </row>
    <row r="1518" spans="2:4" x14ac:dyDescent="0.25">
      <c r="B1518" s="25"/>
      <c r="C1518" s="24"/>
      <c r="D1518" s="26"/>
    </row>
    <row r="1519" spans="2:4" x14ac:dyDescent="0.25">
      <c r="B1519" s="25"/>
      <c r="C1519" s="24"/>
      <c r="D1519" s="26"/>
    </row>
    <row r="1520" spans="2:4" x14ac:dyDescent="0.25">
      <c r="B1520" s="25"/>
      <c r="C1520" s="24"/>
      <c r="D1520" s="26"/>
    </row>
    <row r="1521" spans="2:4" x14ac:dyDescent="0.25">
      <c r="B1521" s="25"/>
      <c r="C1521" s="24"/>
      <c r="D1521" s="26"/>
    </row>
    <row r="1522" spans="2:4" x14ac:dyDescent="0.25">
      <c r="B1522" s="25"/>
      <c r="C1522" s="24"/>
      <c r="D1522" s="26"/>
    </row>
    <row r="1523" spans="2:4" x14ac:dyDescent="0.25">
      <c r="B1523" s="25"/>
      <c r="C1523" s="24"/>
      <c r="D1523" s="26"/>
    </row>
    <row r="1524" spans="2:4" x14ac:dyDescent="0.25">
      <c r="B1524" s="25"/>
      <c r="C1524" s="24"/>
      <c r="D1524" s="26"/>
    </row>
    <row r="1525" spans="2:4" x14ac:dyDescent="0.25">
      <c r="B1525" s="25"/>
      <c r="C1525" s="24"/>
      <c r="D1525" s="26"/>
    </row>
    <row r="1526" spans="2:4" x14ac:dyDescent="0.25">
      <c r="B1526" s="25"/>
      <c r="C1526" s="24"/>
      <c r="D1526" s="26"/>
    </row>
    <row r="1527" spans="2:4" x14ac:dyDescent="0.25">
      <c r="B1527" s="25"/>
      <c r="C1527" s="24"/>
      <c r="D1527" s="26"/>
    </row>
    <row r="1528" spans="2:4" x14ac:dyDescent="0.25">
      <c r="B1528" s="25"/>
      <c r="C1528" s="24"/>
      <c r="D1528" s="26"/>
    </row>
    <row r="1529" spans="2:4" x14ac:dyDescent="0.25">
      <c r="B1529" s="25"/>
      <c r="C1529" s="24"/>
      <c r="D1529" s="26"/>
    </row>
    <row r="1530" spans="2:4" x14ac:dyDescent="0.25">
      <c r="B1530" s="25"/>
      <c r="C1530" s="24"/>
      <c r="D1530" s="26"/>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FF367-35AE-42CE-8CC4-3FB7A0904AEA}">
  <sheetPr codeName="Sheet5"/>
  <dimension ref="A1:CJ58"/>
  <sheetViews>
    <sheetView workbookViewId="0">
      <pane xSplit="1" topLeftCell="B1" activePane="topRight" state="frozen"/>
      <selection pane="topRight" activeCell="CD3" sqref="CD3"/>
    </sheetView>
  </sheetViews>
  <sheetFormatPr defaultRowHeight="15" x14ac:dyDescent="0.25"/>
  <cols>
    <col min="1" max="1" width="7.140625" bestFit="1" customWidth="1"/>
    <col min="2" max="2" width="12.5703125" style="40" bestFit="1" customWidth="1"/>
    <col min="3" max="3" width="15.140625" style="13" bestFit="1" customWidth="1"/>
    <col min="4" max="4" width="15.5703125" bestFit="1" customWidth="1"/>
    <col min="5" max="5" width="15.42578125" customWidth="1"/>
    <col min="6" max="6" width="14" bestFit="1" customWidth="1"/>
    <col min="7" max="7" width="16" bestFit="1" customWidth="1"/>
    <col min="8" max="8" width="16.42578125" bestFit="1" customWidth="1"/>
    <col min="9" max="9" width="9.85546875" bestFit="1" customWidth="1"/>
    <col min="10" max="10" width="11" bestFit="1" customWidth="1"/>
    <col min="11" max="12" width="16.85546875" bestFit="1" customWidth="1"/>
    <col min="13" max="13" width="10.7109375" bestFit="1" customWidth="1"/>
    <col min="14" max="14" width="19" bestFit="1" customWidth="1"/>
    <col min="15" max="15" width="21" bestFit="1" customWidth="1"/>
    <col min="16" max="16" width="10.42578125" bestFit="1" customWidth="1"/>
    <col min="17" max="17" width="14.140625" bestFit="1" customWidth="1"/>
    <col min="18" max="18" width="14.85546875" style="40" bestFit="1" customWidth="1"/>
    <col min="19" max="19" width="9.85546875" bestFit="1" customWidth="1"/>
    <col min="20" max="20" width="14.85546875" bestFit="1" customWidth="1"/>
    <col min="21" max="21" width="9.85546875" bestFit="1" customWidth="1"/>
    <col min="23" max="23" width="11.140625" bestFit="1" customWidth="1"/>
    <col min="24" max="24" width="10.85546875" style="68" bestFit="1" customWidth="1"/>
    <col min="25" max="25" width="24.140625" bestFit="1" customWidth="1"/>
    <col min="26" max="26" width="11.85546875" style="13" customWidth="1"/>
    <col min="27" max="27" width="10.85546875" style="68" bestFit="1" customWidth="1"/>
    <col min="28" max="28" width="9.7109375" bestFit="1" customWidth="1"/>
    <col min="29" max="29" width="10.7109375" bestFit="1" customWidth="1"/>
    <col min="30" max="30" width="10.7109375" style="1" bestFit="1" customWidth="1"/>
    <col min="31" max="31" width="10.5703125" style="40" bestFit="1" customWidth="1"/>
    <col min="32" max="32" width="6.5703125" style="13" bestFit="1" customWidth="1"/>
    <col min="33" max="33" width="9.140625" style="13" bestFit="1" customWidth="1"/>
    <col min="34" max="34" width="8" style="13" bestFit="1" customWidth="1"/>
    <col min="35" max="35" width="12.42578125" bestFit="1" customWidth="1"/>
    <col min="36" max="36" width="11.5703125" style="40" bestFit="1" customWidth="1"/>
    <col min="37" max="37" width="11.42578125" bestFit="1" customWidth="1"/>
    <col min="38" max="38" width="13.5703125" bestFit="1" customWidth="1"/>
    <col min="39" max="39" width="11.140625" bestFit="1" customWidth="1"/>
    <col min="40" max="40" width="10.140625" bestFit="1" customWidth="1"/>
    <col min="42" max="42" width="8.42578125" bestFit="1" customWidth="1"/>
    <col min="43" max="43" width="12.5703125" style="40" bestFit="1" customWidth="1"/>
    <col min="44" max="45" width="12" style="13" bestFit="1" customWidth="1"/>
    <col min="46" max="46" width="12.7109375" style="13" bestFit="1" customWidth="1"/>
    <col min="48" max="48" width="13.7109375" bestFit="1" customWidth="1"/>
    <col min="51" max="51" width="6.85546875" bestFit="1" customWidth="1"/>
    <col min="52" max="52" width="4.28515625" bestFit="1" customWidth="1"/>
    <col min="53" max="53" width="9.85546875" customWidth="1"/>
    <col min="55" max="55" width="6.7109375" customWidth="1"/>
    <col min="56" max="56" width="24.140625" bestFit="1" customWidth="1"/>
    <col min="57" max="57" width="10.140625" style="13" bestFit="1" customWidth="1"/>
    <col min="58" max="58" width="11.140625" style="13" bestFit="1" customWidth="1"/>
    <col min="59" max="59" width="10.140625" style="13" bestFit="1" customWidth="1"/>
    <col min="60" max="60" width="9.5703125" customWidth="1"/>
    <col min="62" max="62" width="27.85546875" style="13" bestFit="1" customWidth="1"/>
    <col min="63" max="63" width="7" bestFit="1" customWidth="1"/>
    <col min="64" max="64" width="6.140625" bestFit="1" customWidth="1"/>
    <col min="65" max="65" width="11.5703125" style="13" bestFit="1" customWidth="1"/>
    <col min="66" max="66" width="10.140625" style="13" bestFit="1" customWidth="1"/>
    <col min="67" max="71" width="10.140625" style="13" customWidth="1"/>
    <col min="72" max="72" width="10.7109375" style="13" bestFit="1" customWidth="1"/>
    <col min="73" max="74" width="10.7109375" style="13" customWidth="1"/>
    <col min="75" max="75" width="18" style="13" bestFit="1" customWidth="1"/>
    <col min="76" max="78" width="18" style="13" customWidth="1"/>
    <col min="79" max="79" width="14.42578125" style="13" customWidth="1"/>
    <col min="80" max="80" width="14.42578125" style="40" customWidth="1"/>
    <col min="81" max="81" width="14.42578125" style="13" customWidth="1"/>
    <col min="82" max="82" width="22.42578125" style="13" bestFit="1" customWidth="1"/>
    <col min="83" max="83" width="22.42578125" style="13" customWidth="1"/>
    <col min="84" max="84" width="15.42578125" style="13" bestFit="1" customWidth="1"/>
    <col min="88" max="88" width="20.28515625" bestFit="1" customWidth="1"/>
  </cols>
  <sheetData>
    <row r="1" spans="1:88" x14ac:dyDescent="0.25">
      <c r="A1" s="2" t="s">
        <v>26</v>
      </c>
      <c r="B1" s="39" t="s">
        <v>44</v>
      </c>
      <c r="C1" s="41" t="s">
        <v>45</v>
      </c>
      <c r="D1" s="3" t="s">
        <v>46</v>
      </c>
      <c r="E1" s="3" t="s">
        <v>47</v>
      </c>
      <c r="F1" s="4" t="s">
        <v>48</v>
      </c>
      <c r="G1" s="4" t="s">
        <v>49</v>
      </c>
      <c r="H1" s="4" t="s">
        <v>50</v>
      </c>
      <c r="I1" s="4" t="s">
        <v>51</v>
      </c>
      <c r="J1" s="5" t="s">
        <v>52</v>
      </c>
      <c r="K1" s="5" t="s">
        <v>53</v>
      </c>
      <c r="L1" s="5" t="s">
        <v>54</v>
      </c>
      <c r="M1" s="5" t="s">
        <v>55</v>
      </c>
      <c r="N1" s="4" t="s">
        <v>56</v>
      </c>
      <c r="O1" s="4" t="s">
        <v>57</v>
      </c>
      <c r="P1" s="3" t="s">
        <v>58</v>
      </c>
      <c r="Q1" s="4" t="s">
        <v>59</v>
      </c>
      <c r="R1" s="6" t="s">
        <v>60</v>
      </c>
      <c r="S1" s="5" t="s">
        <v>61</v>
      </c>
      <c r="T1" s="5" t="s">
        <v>62</v>
      </c>
      <c r="U1" s="5" t="s">
        <v>63</v>
      </c>
      <c r="V1" s="6" t="s">
        <v>64</v>
      </c>
      <c r="W1" s="5" t="s">
        <v>65</v>
      </c>
      <c r="X1" s="69" t="s">
        <v>66</v>
      </c>
      <c r="Y1" s="7" t="s">
        <v>67</v>
      </c>
      <c r="Z1" s="213" t="s">
        <v>166</v>
      </c>
      <c r="AA1" s="69"/>
      <c r="AB1" s="5" t="s">
        <v>68</v>
      </c>
      <c r="AC1" s="5" t="s">
        <v>26</v>
      </c>
      <c r="AD1" s="8" t="s">
        <v>69</v>
      </c>
      <c r="AE1" s="6" t="s">
        <v>70</v>
      </c>
      <c r="AF1" s="43" t="s">
        <v>66</v>
      </c>
      <c r="AG1" s="43" t="s">
        <v>71</v>
      </c>
      <c r="AH1" s="43" t="s">
        <v>72</v>
      </c>
      <c r="AI1" s="5" t="s">
        <v>73</v>
      </c>
      <c r="AJ1" s="6" t="s">
        <v>74</v>
      </c>
      <c r="AK1" s="5" t="s">
        <v>60</v>
      </c>
      <c r="AL1" s="5" t="s">
        <v>75</v>
      </c>
      <c r="AM1" s="5" t="s">
        <v>65</v>
      </c>
      <c r="AN1" s="5" t="s">
        <v>76</v>
      </c>
      <c r="AP1" s="2" t="s">
        <v>26</v>
      </c>
      <c r="AQ1" s="44" t="s">
        <v>77</v>
      </c>
      <c r="AR1" s="45" t="s">
        <v>2</v>
      </c>
      <c r="AS1" s="45" t="s">
        <v>3</v>
      </c>
      <c r="AT1" s="45" t="s">
        <v>78</v>
      </c>
      <c r="AU1" s="9"/>
      <c r="AV1" s="5" t="s">
        <v>79</v>
      </c>
      <c r="AZ1" s="10"/>
      <c r="BA1" s="10"/>
      <c r="BC1" s="11">
        <v>1</v>
      </c>
      <c r="BD1" s="5" t="s">
        <v>67</v>
      </c>
      <c r="BE1" s="43" t="s">
        <v>71</v>
      </c>
      <c r="BF1" s="43" t="s">
        <v>81</v>
      </c>
      <c r="BG1" s="43" t="s">
        <v>82</v>
      </c>
      <c r="BH1" s="5"/>
      <c r="BJ1" s="72" t="s">
        <v>118</v>
      </c>
      <c r="BK1" s="12"/>
      <c r="BL1" s="73"/>
      <c r="BM1" s="74"/>
      <c r="BP1" s="13" t="s">
        <v>130</v>
      </c>
      <c r="BS1" s="13" t="s">
        <v>130</v>
      </c>
      <c r="BW1" s="13" t="s">
        <v>130</v>
      </c>
      <c r="BY1" s="13" t="s">
        <v>135</v>
      </c>
      <c r="CG1" s="164" t="s">
        <v>120</v>
      </c>
      <c r="CH1" s="164" t="s">
        <v>144</v>
      </c>
      <c r="CJ1" t="s">
        <v>147</v>
      </c>
    </row>
    <row r="2" spans="1:88" x14ac:dyDescent="0.25">
      <c r="A2" t="str" cm="1">
        <f t="array" ref="A2:A34">_xlfn._xlws.SORT(_xlfn.UNIQUE(InputData[Stock]))</f>
        <v>3DP</v>
      </c>
      <c r="B2" s="40" cm="1">
        <f t="array" ref="B2:B34">SUMIFS(InputData[Transacted Units],InputData[Stock],_xlfn.ANCHORARRAY(Calculations!A2),InputData[Type],"Buy",InputData[Trade Type],"Day")</f>
        <v>0</v>
      </c>
      <c r="C2" s="13" cm="1">
        <f t="array" ref="C2:C34">SUMIFS(InputData[Mkt Value],InputData[Stock],_xlfn.ANCHORARRAY(Calculations!A2),InputData[Type],"Buy",InputData[Trade Type],"Day")</f>
        <v>0</v>
      </c>
      <c r="D2" cm="1">
        <f t="array" ref="D2:D34">SUMIFS(InputData[Mkt Value],InputData[Stock],_xlfn.ANCHORARRAY(Calculations!A2),InputData[Type],"Sell",InputData[Trade Type],"Day")</f>
        <v>0</v>
      </c>
      <c r="E2" s="13" cm="1">
        <f t="array" ref="E2:E34">_xlfn.ANCHORARRAY(D2)-_xlfn.ANCHORARRAY(C2)-_xlfn.ANCHORARRAY(P2)</f>
        <v>0</v>
      </c>
      <c r="F2" s="40" cm="1">
        <f t="array" ref="F2:F34">SUMIFS(InputData[Transacted Units],InputData[Stock],_xlfn.ANCHORARRAY(Calculations!A2),InputData[Type],"Sell")-_xlfn.ANCHORARRAY(B2)</f>
        <v>0</v>
      </c>
      <c r="G2" cm="1">
        <f t="array" aca="1" ref="G2:G34" ca="1">_xlfn.ANCHORARRAY(O2)-_xlfn.ANCHORARRAY(U2)</f>
        <v>0</v>
      </c>
      <c r="H2" cm="1">
        <f t="array" ref="H2:H34">SUMIFS(InputData[Mkt Value],InputData[Stock],_xlfn.ANCHORARRAY(Calculations!A2),InputData[Type],"Sell")-_xlfn.ANCHORARRAY(D2)</f>
        <v>0</v>
      </c>
      <c r="I2" cm="1">
        <f t="array" aca="1" ref="I2:I34" ca="1">_xlfn.ANCHORARRAY(H2)-_xlfn.ANCHORARRAY(G2)-_xlfn.ANCHORARRAY(Q2)</f>
        <v>0</v>
      </c>
      <c r="J2" s="40" cm="1">
        <f t="array" ref="J2:J34">_xlfn.ANCHORARRAY(B2)+_xlfn.ANCHORARRAY(F2)</f>
        <v>0</v>
      </c>
      <c r="K2" s="13" cm="1">
        <f t="array" aca="1" ref="K2:K34" ca="1">_xlfn.ANCHORARRAY(C2)+_xlfn.ANCHORARRAY(G2)</f>
        <v>0</v>
      </c>
      <c r="L2" cm="1">
        <f t="array" ref="L2:L34">_xlfn.ANCHORARRAY(D2)+_xlfn.ANCHORARRAY(H2)</f>
        <v>0</v>
      </c>
      <c r="M2" s="13" cm="1">
        <f t="array" aca="1" ref="M2:M34" ca="1">_xlfn.ANCHORARRAY(E2)+_xlfn.ANCHORARRAY(I2)</f>
        <v>0</v>
      </c>
      <c r="N2" s="40" cm="1">
        <f t="array" ref="N2:N34">SUMIFS(InputData[Transacted Units],InputData[Stock],_xlfn.ANCHORARRAY(Calculations!A2),InputData[Type],"Buy")-_xlfn.ANCHORARRAY(B2)</f>
        <v>3846</v>
      </c>
      <c r="O2" s="13" cm="1">
        <f t="array" ref="O2:O34">SUMIFS(InputData[Mkt Value],InputData[Stock],_xlfn.ANCHORARRAY(Calculations!A2),InputData[Type],"Buy")-_xlfn.ANCHORARRAY(C2)</f>
        <v>1999.92</v>
      </c>
      <c r="P2" cm="1">
        <f t="array" ref="P2:P34">SUMIFS(InputData[Fees],InputData[Stock],_xlfn.ANCHORARRAY(Calculations!A2),InputData[Trade Type],"Day")</f>
        <v>0</v>
      </c>
      <c r="Q2" cm="1">
        <f t="array" aca="1" ref="Q2:Q34" ca="1">IF(_xlfn.ANCHORARRAY(F2)=0,0,SUMIFS(InputData[Fees],InputData[Stock],_xlfn.ANCHORARRAY(Calculations!A2),InputData[Trade Type],"Long")-_xlfn.ANCHORARRAY(W2))</f>
        <v>0</v>
      </c>
      <c r="R2" s="40" cm="1">
        <f t="array" ref="R2:R34">_xlfn.ANCHORARRAY(N2)-_xlfn.ANCHORARRAY(F2)</f>
        <v>3846</v>
      </c>
      <c r="S2" cm="1">
        <f t="array" aca="1" ref="S2:S34" ca="1">SUMIFS(_xlfn.ANCHORARRAY(AE2),Stock,_xlfn.ANCHORARRAY(A2),_xlfn.ANCHORARRAY(AN2),"Long Term")</f>
        <v>3846</v>
      </c>
      <c r="T2" s="13">
        <f>R2*X2</f>
        <v>653.82000000000005</v>
      </c>
      <c r="U2" cm="1">
        <f t="array" aca="1" ref="U2:U34" ca="1">SUMIF(Stock,_xlfn.ANCHORARRAY(A2),_xlfn.ANCHORARRAY(AL2))</f>
        <v>1999.92</v>
      </c>
      <c r="V2" cm="1">
        <f t="array" aca="1" ref="V2:V34" ca="1">IFERROR(_xlfn.ANCHORARRAY(U2)/_xlfn.ANCHORARRAY(R2),0)</f>
        <v>0.52</v>
      </c>
      <c r="W2" cm="1">
        <f t="array" aca="1" ref="W2:W34" ca="1">SUMIF(Stock,_xlfn.ANCHORARRAY(A2),_xlfn.ANCHORARRAY(AM2))</f>
        <v>19.95</v>
      </c>
      <c r="X2" s="70">
        <v>0.17</v>
      </c>
      <c r="Y2" t="s">
        <v>89</v>
      </c>
      <c r="Z2" s="13" cm="1">
        <f t="array" ref="Z2:Z34">SUMIF(InputData[Stock],_xlfn.ANCHORARRAY( A2), InputData[Transacted Price (per unit)])/COUNTIF(InputData[Stock],_xlfn.ANCHORARRAY( A2))</f>
        <v>0.52</v>
      </c>
      <c r="AA2" s="70"/>
      <c r="AB2" s="42" cm="1">
        <f t="array" ref="AB2:AB43">ROW(_xlfn.ANCHORARRAY(AC2))-1</f>
        <v>1</v>
      </c>
      <c r="AC2" t="str" cm="1">
        <f t="array" ref="AC2:AD43">_xlfn._xlws.SORT(_xlfn.UNIQUE(_xlfn._xlws.FILTER(InputData[[Stock]:[Date]],(InputData[Type]="Buy")*(InputData[Trade Type]="Long"))),{1,2})</f>
        <v>3DP</v>
      </c>
      <c r="AD2" s="1">
        <v>44200</v>
      </c>
      <c r="AE2" s="40" cm="1">
        <f t="array" aca="1" ref="AE2:AE43" ca="1">SUMIFS(InputData[Transacted Units],InputData[Stock],Stock,InputData[Date],OrderDate,InputData[Type],"Buy",InputData[Trade Type],"Long")</f>
        <v>3846</v>
      </c>
      <c r="AF2" s="13" cm="1">
        <f t="array" aca="1" ref="AF2:AF43" ca="1">AVERAGEIFS(InputData[Transacted Price (per unit)],InputData[Stock],Stock,InputData[Date],OrderDate,InputData[Type],"Buy",InputData[Trade Type],"Long")</f>
        <v>0.52</v>
      </c>
      <c r="AG2" s="13" cm="1">
        <f t="array" aca="1" ref="AG2:AG43" ca="1">_xlfn.ANCHORARRAY(AE2)*_xlfn.ANCHORARRAY(AF2)</f>
        <v>1999.92</v>
      </c>
      <c r="AH2" s="13" cm="1">
        <f t="array" aca="1" ref="AH2:AH43" ca="1">SUMIFS(InputData[Fees],InputData[Stock],Stock,InputData[Date],OrderDate,InputData[Type],"Buy",InputData[Trade Type],"Long")</f>
        <v>19.95</v>
      </c>
      <c r="AI2" cm="1">
        <f t="array" aca="1" ref="AI2:AI43" ca="1">SUMIFS(_xlfn.ANCHORARRAY(AE2),Stock,Stock,_xlfn.ANCHORARRAY(AB2),"&lt;"&amp;_xlfn.ANCHORARRAY(AB2))</f>
        <v>0</v>
      </c>
      <c r="AJ2" s="40" cm="1">
        <f t="array" aca="1" ref="AJ2:AJ43" ca="1">SUMIFS(InputData[Transacted Units],InputData[Stock],Stock,InputData[Type],"Sell",InputData[Trade Type],"Long")</f>
        <v>0</v>
      </c>
      <c r="AK2" cm="1">
        <f t="array" aca="1" ref="AK2:AK43" ca="1">IF((_xlfn.ANCHORARRAY(AE2)+_xlfn.ANCHORARRAY(AI2))&gt;_xlfn.ANCHORARRAY(AJ2),IF(((_xlfn.ANCHORARRAY(AE2)+_xlfn.ANCHORARRAY(AI2))-_xlfn.ANCHORARRAY(AJ2))&gt;_xlfn.ANCHORARRAY(AE2),_xlfn.ANCHORARRAY(AE2),((_xlfn.ANCHORARRAY(AE2)+_xlfn.ANCHORARRAY(AI2))-_xlfn.ANCHORARRAY(AJ2))),0)</f>
        <v>3846</v>
      </c>
      <c r="AL2" cm="1">
        <f t="array" aca="1" ref="AL2:AL43" ca="1">_xlfn.ANCHORARRAY(AF2)*_xlfn.ANCHORARRAY(AK2)</f>
        <v>1999.92</v>
      </c>
      <c r="AM2" cm="1">
        <f t="array" aca="1" ref="AM2:AM43" ca="1">IFERROR(_xlfn.ANCHORARRAY(AH2)/(_xlfn.ANCHORARRAY(AE2)/_xlfn.ANCHORARRAY(AK2)),0)</f>
        <v>19.95</v>
      </c>
      <c r="AN2" t="str" cm="1">
        <f t="array" aca="1" ref="AN2:AN43" ca="1">IF(_xlfn.ANCHORARRAY(AK2)&gt;0,IF(TODAY()-OrderDate&gt;365,"Long Term","Short Term"),"Short Term")</f>
        <v>Long Term</v>
      </c>
      <c r="AP2" t="str" cm="1">
        <f t="array" aca="1" ref="AP2:AT28" ca="1">_xlfn._xlws.SORT(_xlfn._xlws.FILTER(_xlfn._xlws.FILTER(Profit_Loss_Range,IF(AW2=1,_xlfn.ANCHORARRAY(B2)&gt;0,IF(AW2=2,_xlfn.ANCHORARRAY(F2)&gt;0,_xlfn.ANCHORARRAY(J2)&gt;0))),IF(AW2=1,{1,1,1,1,1,0,0,0,0,0,0,0,0},IF(AW2=2,{1,0,0,0,0,1,1,1,1,0,0,0,0},{1,0,0,0,0,0,0,0,0,1,1,1,1}))),5,-1)</f>
        <v>CCE</v>
      </c>
      <c r="AQ2" s="40">
        <f ca="1"/>
        <v>5000000</v>
      </c>
      <c r="AR2" s="13">
        <f ca="1"/>
        <v>5000</v>
      </c>
      <c r="AS2" s="13">
        <f ca="1"/>
        <v>10000</v>
      </c>
      <c r="AT2" s="13">
        <f ca="1"/>
        <v>4940.1499999999996</v>
      </c>
      <c r="AV2" t="s">
        <v>85</v>
      </c>
      <c r="AW2" s="11">
        <v>3</v>
      </c>
      <c r="BD2" t="str" cm="1">
        <f t="array" ref="BD2:BD8">_xlfn.UNIQUE(_xlfn._xlws.FILTER(Y2:Y34,_xlfn.ANCHORARRAY(R2)))</f>
        <v>Computer and electronics</v>
      </c>
      <c r="BE2" s="13" cm="1">
        <f t="array" aca="1" ref="BE2:BE8" ca="1">IF($BC$1=1,_xlfn.ANCHORARRAY(BF2),_xlfn.ANCHORARRAY(BG2))</f>
        <v>7549.6979999999994</v>
      </c>
      <c r="BF2" s="13" cm="1">
        <f t="array" aca="1" ref="BF2:BF8" ca="1">SUMIF(Y2:Y34,_xlfn.ANCHORARRAY(BD2),_xlfn.ANCHORARRAY(U2))</f>
        <v>7549.6979999999994</v>
      </c>
      <c r="BG2" s="13" cm="1">
        <f t="array" aca="1" ref="BG2:BG8" ca="1">SUMIF(Y2:Y34,_xlfn.ANCHORARRAY(BD2),_xlfn.ANCHORARRAY(T2))</f>
        <v>51799.740000000005</v>
      </c>
      <c r="BI2" t="s">
        <v>120</v>
      </c>
      <c r="BJ2" s="13" t="s">
        <v>119</v>
      </c>
      <c r="BL2" t="s">
        <v>120</v>
      </c>
      <c r="BM2" s="13" t="s">
        <v>2</v>
      </c>
      <c r="BN2" s="13" t="s">
        <v>3</v>
      </c>
      <c r="BP2" s="13" t="s">
        <v>120</v>
      </c>
      <c r="BQ2" s="13" t="s">
        <v>133</v>
      </c>
      <c r="BS2" s="13" t="s">
        <v>120</v>
      </c>
      <c r="BT2" s="13" t="s">
        <v>132</v>
      </c>
      <c r="BV2" s="13" t="s">
        <v>120</v>
      </c>
      <c r="BW2" s="13" t="s">
        <v>131</v>
      </c>
      <c r="BY2" s="13" t="s">
        <v>120</v>
      </c>
      <c r="BZ2" s="13" t="s">
        <v>136</v>
      </c>
      <c r="CA2" s="13" t="s">
        <v>167</v>
      </c>
      <c r="CB2" s="40" t="s">
        <v>168</v>
      </c>
      <c r="CC2" s="13" t="s">
        <v>169</v>
      </c>
      <c r="CD2" s="13" t="s">
        <v>170</v>
      </c>
      <c r="CF2" s="13" t="s">
        <v>171</v>
      </c>
      <c r="CG2" t="str" cm="1">
        <f t="array" ref="CG2:CG34">uniq_stock</f>
        <v>3DP</v>
      </c>
      <c r="CH2" t="s">
        <v>145</v>
      </c>
      <c r="CJ2" s="13">
        <f ca="1">SUM(Profit_Loss)</f>
        <v>-69019.877314843092</v>
      </c>
    </row>
    <row r="3" spans="1:88" x14ac:dyDescent="0.25">
      <c r="A3" t="str">
        <v>4DX</v>
      </c>
      <c r="B3" s="40">
        <v>0</v>
      </c>
      <c r="C3" s="13">
        <v>0</v>
      </c>
      <c r="D3">
        <v>0</v>
      </c>
      <c r="E3">
        <v>0</v>
      </c>
      <c r="F3">
        <v>769</v>
      </c>
      <c r="G3">
        <f ca="1"/>
        <v>999.7</v>
      </c>
      <c r="H3">
        <v>1049.6849999999999</v>
      </c>
      <c r="I3">
        <f ca="1"/>
        <v>20.034999999999901</v>
      </c>
      <c r="J3">
        <v>769</v>
      </c>
      <c r="K3">
        <f ca="1"/>
        <v>999.7</v>
      </c>
      <c r="L3">
        <v>1049.6849999999999</v>
      </c>
      <c r="M3">
        <f ca="1"/>
        <v>20.034999999999901</v>
      </c>
      <c r="N3">
        <v>769</v>
      </c>
      <c r="O3">
        <v>999.7</v>
      </c>
      <c r="P3">
        <v>0</v>
      </c>
      <c r="Q3">
        <f ca="1"/>
        <v>29.95</v>
      </c>
      <c r="R3" s="40">
        <v>0</v>
      </c>
      <c r="S3">
        <f ca="1"/>
        <v>0</v>
      </c>
      <c r="T3" s="13">
        <f t="shared" ref="T3:T34" si="0">R3*X3</f>
        <v>0</v>
      </c>
      <c r="U3">
        <f ca="1"/>
        <v>0</v>
      </c>
      <c r="V3">
        <f ca="1"/>
        <v>0</v>
      </c>
      <c r="W3">
        <f ca="1"/>
        <v>0</v>
      </c>
      <c r="X3" s="70">
        <v>0.4</v>
      </c>
      <c r="Y3" t="s">
        <v>90</v>
      </c>
      <c r="Z3" s="13">
        <v>1.3325</v>
      </c>
      <c r="AA3" s="70"/>
      <c r="AB3">
        <v>2</v>
      </c>
      <c r="AC3" t="str">
        <v>4DX</v>
      </c>
      <c r="AD3" s="1">
        <v>44050</v>
      </c>
      <c r="AE3" s="40">
        <f ca="1"/>
        <v>769</v>
      </c>
      <c r="AF3" s="13">
        <f ca="1"/>
        <v>1.3</v>
      </c>
      <c r="AG3" s="13">
        <f ca="1"/>
        <v>999.7</v>
      </c>
      <c r="AH3" s="13">
        <f ca="1"/>
        <v>10</v>
      </c>
      <c r="AI3">
        <f ca="1"/>
        <v>0</v>
      </c>
      <c r="AJ3" s="40">
        <f ca="1"/>
        <v>769</v>
      </c>
      <c r="AK3">
        <f ca="1"/>
        <v>0</v>
      </c>
      <c r="AL3">
        <f ca="1"/>
        <v>0</v>
      </c>
      <c r="AM3">
        <f ca="1"/>
        <v>0</v>
      </c>
      <c r="AN3" t="str">
        <f ca="1"/>
        <v>Short Term</v>
      </c>
      <c r="AP3" t="str">
        <f ca="1"/>
        <v>SHIB</v>
      </c>
      <c r="AQ3" s="40">
        <f ca="1"/>
        <v>375274036</v>
      </c>
      <c r="AR3" s="13">
        <f ca="1"/>
        <v>5470.0684773200001</v>
      </c>
      <c r="AS3" s="13">
        <f ca="1"/>
        <v>7078.6270396300006</v>
      </c>
      <c r="AT3" s="13">
        <f ca="1"/>
        <v>1608.5585623100005</v>
      </c>
      <c r="AV3" t="s">
        <v>86</v>
      </c>
      <c r="AW3" s="11">
        <v>1</v>
      </c>
      <c r="BD3" t="str">
        <v>Crypto</v>
      </c>
      <c r="BE3" s="13">
        <f ca="1"/>
        <v>0</v>
      </c>
      <c r="BF3" s="13">
        <f ca="1"/>
        <v>0</v>
      </c>
      <c r="BG3" s="13">
        <f ca="1"/>
        <v>14276.380894884196</v>
      </c>
      <c r="BI3" t="str" cm="1">
        <f t="array" aca="1" ref="BI3:BI29" ca="1">dyn_ticker</f>
        <v>CCE</v>
      </c>
      <c r="BJ3" s="13" cm="1">
        <f t="array" aca="1" ref="BJ3:BJ29" ca="1">Profit_Loss</f>
        <v>4940.1499999999996</v>
      </c>
      <c r="BL3" t="str" cm="1">
        <f t="array" aca="1" ref="BL3:BL29" ca="1">dyn_ticker</f>
        <v>CCE</v>
      </c>
      <c r="BM3" s="13" cm="1">
        <f t="array" aca="1" ref="BM3:BM29" ca="1">dyn_buy</f>
        <v>5000</v>
      </c>
      <c r="BN3" s="13" cm="1">
        <f t="array" aca="1" ref="BN3:BN29" ca="1">dyn_sales</f>
        <v>10000</v>
      </c>
      <c r="BP3" s="13" t="str" cm="1">
        <f t="array" aca="1" ref="BP3:BP12" ca="1">INDEX(dyn_ticker,MATCH(_xlfn.ANCHORARRAY(BQ3),Profit_Loss,0))</f>
        <v>CCE</v>
      </c>
      <c r="BQ3" s="13" cm="1">
        <f t="array" aca="1" ref="BQ3:BQ12" ca="1">LARGE(Profit_Loss,{1;2;3;4;5;6;7;8;9;10})</f>
        <v>4940.1499999999996</v>
      </c>
      <c r="BS3" s="13" t="str" cm="1">
        <f t="array" aca="1" ref="BS3:BS12" ca="1">INDEX(dyn_ticker,MATCH(_xlfn.ANCHORARRAY(BT3),dyn_buy,0))</f>
        <v>AXS</v>
      </c>
      <c r="BT3" s="13" cm="1">
        <f t="array" aca="1" ref="BT3:BT12" ca="1">LARGE(dyn_buy,{1;2;3;4;5;6;7;8;9;10})</f>
        <v>71544.757321720041</v>
      </c>
      <c r="BV3" s="13" t="str" cm="1">
        <f t="array" aca="1" ref="BV3:BV12" ca="1">INDEX(dyn_ticker,MATCH(_xlfn.ANCHORARRAY(BW3),dyn_sales,0))</f>
        <v>XRP</v>
      </c>
      <c r="BW3" s="13" cm="1">
        <f t="array" aca="1" ref="BW3:BW12" ca="1">LARGE(dyn_sales,{1;2;3;4;5;6;7;8;9;10})</f>
        <v>39826.61867939998</v>
      </c>
      <c r="BY3" s="13" t="str" cm="1">
        <f t="array" aca="1" ref="BY3" ca="1">IFERROR(INDEX(A:A, SMALL(IF(M:M&lt;0, ROW(M:M)), ROWS(A$1:A1))), "")</f>
        <v>ADA</v>
      </c>
      <c r="BZ3" s="13" cm="1">
        <f t="array" aca="1" ref="BZ3" ca="1">IFERROR(VLOOKUP(_xlfn.ANCHORARRAY(BY3), A:M,13, FALSE),"")</f>
        <v>-7898.0725859999993</v>
      </c>
      <c r="CA3" s="13" cm="1">
        <f t="array" aca="1" ref="CA3" ca="1">IFERROR(VLOOKUP(_xlfn.ANCHORARRAY(BY3), A:Z,26, FALSE),"")</f>
        <v>2.0844545454545451</v>
      </c>
      <c r="CB3" s="40" cm="1">
        <f t="array" aca="1" ref="CB3" ca="1">IFERROR(VLOOKUP(_xlfn.ANCHORARRAY(BY3), A:M,10, FALSE),"")</f>
        <v>0</v>
      </c>
      <c r="CC3" s="214" cm="1">
        <f t="array" aca="1" ref="CC3" ca="1">IFERROR(VLOOKUP(_xlfn.ANCHORARRAY(BY3), A:X,24, FALSE),"")</f>
        <v>0.56999999999999995</v>
      </c>
      <c r="CD3" s="40"/>
      <c r="CE3" s="40"/>
      <c r="CF3" s="13">
        <v>1000</v>
      </c>
      <c r="CG3" t="str">
        <v>4DX</v>
      </c>
      <c r="CH3" t="s">
        <v>146</v>
      </c>
    </row>
    <row r="4" spans="1:88" x14ac:dyDescent="0.25">
      <c r="A4" t="str">
        <v>ADA</v>
      </c>
      <c r="B4" s="40">
        <v>3613.7</v>
      </c>
      <c r="C4" s="13">
        <v>7894.1900999999989</v>
      </c>
      <c r="D4">
        <v>0</v>
      </c>
      <c r="E4">
        <v>-7898.0725859999993</v>
      </c>
      <c r="F4">
        <v>-3613.7</v>
      </c>
      <c r="G4">
        <f ca="1"/>
        <v>0</v>
      </c>
      <c r="H4">
        <v>0</v>
      </c>
      <c r="I4">
        <f ca="1"/>
        <v>0</v>
      </c>
      <c r="J4">
        <v>0</v>
      </c>
      <c r="K4">
        <f ca="1"/>
        <v>7894.1900999999989</v>
      </c>
      <c r="L4">
        <v>0</v>
      </c>
      <c r="M4">
        <f ca="1"/>
        <v>-7898.0725859999993</v>
      </c>
      <c r="N4">
        <v>0</v>
      </c>
      <c r="O4">
        <v>0</v>
      </c>
      <c r="P4">
        <v>3.8824859999999997</v>
      </c>
      <c r="Q4">
        <f ca="1"/>
        <v>0</v>
      </c>
      <c r="R4" s="40">
        <v>3613.7</v>
      </c>
      <c r="S4">
        <f ca="1"/>
        <v>0</v>
      </c>
      <c r="T4" s="13">
        <f t="shared" si="0"/>
        <v>2059.8089999999997</v>
      </c>
      <c r="U4">
        <f ca="1"/>
        <v>0</v>
      </c>
      <c r="V4">
        <f ca="1"/>
        <v>0</v>
      </c>
      <c r="W4">
        <f ca="1"/>
        <v>0</v>
      </c>
      <c r="X4" s="70">
        <v>0.56999999999999995</v>
      </c>
      <c r="Y4" t="s">
        <v>91</v>
      </c>
      <c r="Z4" s="13">
        <v>2.0844545454545451</v>
      </c>
      <c r="AA4" s="70"/>
      <c r="AB4">
        <v>3</v>
      </c>
      <c r="AC4" t="str">
        <v>ANL</v>
      </c>
      <c r="AD4" s="1">
        <v>44102</v>
      </c>
      <c r="AE4" s="40">
        <f ca="1"/>
        <v>1500000</v>
      </c>
      <c r="AF4" s="13">
        <f ca="1"/>
        <v>2E-3</v>
      </c>
      <c r="AG4" s="13">
        <f ca="1"/>
        <v>3000</v>
      </c>
      <c r="AH4" s="13">
        <f ca="1"/>
        <v>19.95</v>
      </c>
      <c r="AI4">
        <f ca="1"/>
        <v>0</v>
      </c>
      <c r="AJ4" s="40">
        <f ca="1"/>
        <v>1000000</v>
      </c>
      <c r="AK4">
        <f ca="1"/>
        <v>500000</v>
      </c>
      <c r="AL4">
        <f ca="1"/>
        <v>1000</v>
      </c>
      <c r="AM4">
        <f ca="1"/>
        <v>6.6499999999999995</v>
      </c>
      <c r="AN4" t="str">
        <f ca="1"/>
        <v>Long Term</v>
      </c>
      <c r="AP4" t="str">
        <f ca="1"/>
        <v>ICG</v>
      </c>
      <c r="AQ4" s="40">
        <f ca="1"/>
        <v>1000000</v>
      </c>
      <c r="AR4" s="13">
        <f ca="1"/>
        <v>1000</v>
      </c>
      <c r="AS4" s="13">
        <f ca="1"/>
        <v>2000</v>
      </c>
      <c r="AT4" s="13">
        <f ca="1"/>
        <v>970.05</v>
      </c>
      <c r="AV4" t="s">
        <v>87</v>
      </c>
      <c r="AW4">
        <f ca="1">COUNTA(_xlfn.ANCHORARRAY(AP2))/5</f>
        <v>27</v>
      </c>
      <c r="BD4" t="str">
        <v>Mining</v>
      </c>
      <c r="BE4" s="13">
        <f ca="1"/>
        <v>1999.97</v>
      </c>
      <c r="BF4" s="13">
        <f ca="1"/>
        <v>1999.97</v>
      </c>
      <c r="BG4" s="13">
        <f ca="1"/>
        <v>6026.15</v>
      </c>
      <c r="BI4" t="str">
        <f ca="1"/>
        <v>SHIB</v>
      </c>
      <c r="BJ4" s="13">
        <f ca="1"/>
        <v>1608.5585623100005</v>
      </c>
      <c r="BL4" t="str">
        <f ca="1"/>
        <v>SHIB</v>
      </c>
      <c r="BM4" s="13">
        <f ca="1"/>
        <v>5470.0684773200001</v>
      </c>
      <c r="BN4" s="13">
        <f ca="1"/>
        <v>7078.6270396300006</v>
      </c>
      <c r="BP4" s="13" t="str">
        <f ca="1"/>
        <v>SHIB</v>
      </c>
      <c r="BQ4" s="13">
        <f ca="1"/>
        <v>1608.5585623100005</v>
      </c>
      <c r="BS4" s="13" t="str">
        <f ca="1"/>
        <v>XRP</v>
      </c>
      <c r="BT4" s="13">
        <f ca="1"/>
        <v>43113.435113000014</v>
      </c>
      <c r="BV4" s="13" t="str">
        <f ca="1"/>
        <v>AXS</v>
      </c>
      <c r="BW4" s="13">
        <f ca="1"/>
        <v>11809.609803653</v>
      </c>
      <c r="BY4" s="13" t="str" cm="1">
        <f t="array" aca="1" ref="BY4" ca="1">IFERROR(INDEX(A:A, SMALL(IF(M:M&lt;0, ROW(M:M)), ROWS(A$1:A2))), "")</f>
        <v>ANW</v>
      </c>
      <c r="BZ4" s="13" cm="1">
        <f t="array" aca="1" ref="BZ4" ca="1">IFERROR(VLOOKUP(_xlfn.ANCHORARRAY(BY4), A:M,13, FALSE),"")</f>
        <v>-89.8</v>
      </c>
      <c r="CA4" s="13" cm="1">
        <f t="array" aca="1" ref="CA4" ca="1">IFERROR(VLOOKUP(_xlfn.ANCHORARRAY(BY4), A:Z,26, FALSE),"")</f>
        <v>1E-3</v>
      </c>
      <c r="CB4" s="40" cm="1">
        <f t="array" aca="1" ref="CB4" ca="1">IFERROR(VLOOKUP(_xlfn.ANCHORARRAY(BY4), A:M,10, FALSE),"")</f>
        <v>10000000</v>
      </c>
      <c r="CC4" s="214" cm="1">
        <f t="array" aca="1" ref="CC4" ca="1">IFERROR(VLOOKUP(_xlfn.ANCHORARRAY(BY4), A:X,24, FALSE),"")</f>
        <v>4.8000000000000001E-2</v>
      </c>
      <c r="CD4" s="40"/>
      <c r="CE4" s="40"/>
      <c r="CF4" s="13">
        <v>5000</v>
      </c>
      <c r="CG4" t="str">
        <v>ADA</v>
      </c>
      <c r="CH4" t="s">
        <v>145</v>
      </c>
    </row>
    <row r="5" spans="1:88" x14ac:dyDescent="0.25">
      <c r="A5" t="str">
        <v>ANL</v>
      </c>
      <c r="B5" s="40">
        <v>0</v>
      </c>
      <c r="C5" s="13">
        <v>0</v>
      </c>
      <c r="D5">
        <v>0</v>
      </c>
      <c r="E5">
        <v>0</v>
      </c>
      <c r="F5">
        <v>1000000</v>
      </c>
      <c r="G5">
        <f ca="1"/>
        <v>2000</v>
      </c>
      <c r="H5">
        <v>3000</v>
      </c>
      <c r="I5">
        <f ca="1"/>
        <v>966.75</v>
      </c>
      <c r="J5">
        <v>1000000</v>
      </c>
      <c r="K5">
        <f ca="1"/>
        <v>2000</v>
      </c>
      <c r="L5">
        <v>3000</v>
      </c>
      <c r="M5">
        <f ca="1"/>
        <v>966.75</v>
      </c>
      <c r="N5">
        <v>1500000</v>
      </c>
      <c r="O5">
        <v>3000</v>
      </c>
      <c r="P5">
        <v>0</v>
      </c>
      <c r="Q5">
        <f ca="1"/>
        <v>33.25</v>
      </c>
      <c r="R5" s="40">
        <v>500000</v>
      </c>
      <c r="S5">
        <f ca="1"/>
        <v>1500000</v>
      </c>
      <c r="T5" s="13">
        <f t="shared" si="0"/>
        <v>500</v>
      </c>
      <c r="U5">
        <f ca="1"/>
        <v>1000</v>
      </c>
      <c r="V5">
        <f ca="1"/>
        <v>2E-3</v>
      </c>
      <c r="W5">
        <f ca="1"/>
        <v>6.6499999999999995</v>
      </c>
      <c r="X5" s="70">
        <v>1E-3</v>
      </c>
      <c r="Y5" t="s">
        <v>92</v>
      </c>
      <c r="Z5" s="13">
        <v>2.5000000000000001E-3</v>
      </c>
      <c r="AA5" s="70"/>
      <c r="AB5">
        <v>4</v>
      </c>
      <c r="AC5" t="str">
        <v>ANW</v>
      </c>
      <c r="AD5" s="1">
        <v>44088</v>
      </c>
      <c r="AE5" s="40">
        <f ca="1"/>
        <v>5000000</v>
      </c>
      <c r="AF5" s="13">
        <f ca="1"/>
        <v>1E-3</v>
      </c>
      <c r="AG5" s="13">
        <f ca="1"/>
        <v>5000</v>
      </c>
      <c r="AH5" s="13">
        <f ca="1"/>
        <v>19.95</v>
      </c>
      <c r="AI5">
        <f ca="1"/>
        <v>0</v>
      </c>
      <c r="AJ5" s="40">
        <f ca="1"/>
        <v>10000000</v>
      </c>
      <c r="AK5">
        <f ca="1"/>
        <v>0</v>
      </c>
      <c r="AL5">
        <f ca="1"/>
        <v>0</v>
      </c>
      <c r="AM5">
        <f ca="1"/>
        <v>0</v>
      </c>
      <c r="AN5" t="str">
        <f ca="1"/>
        <v>Short Term</v>
      </c>
      <c r="AP5" t="str">
        <f ca="1"/>
        <v>ANL</v>
      </c>
      <c r="AQ5" s="40">
        <f ca="1"/>
        <v>1000000</v>
      </c>
      <c r="AR5" s="13">
        <f ca="1"/>
        <v>2000</v>
      </c>
      <c r="AS5" s="13">
        <f ca="1"/>
        <v>3000</v>
      </c>
      <c r="AT5" s="13">
        <f ca="1"/>
        <v>966.75</v>
      </c>
      <c r="AV5" t="s">
        <v>88</v>
      </c>
      <c r="AW5">
        <f ca="1">MIN(AW3,AW4-9)</f>
        <v>1</v>
      </c>
      <c r="BD5" t="str">
        <v>Crypto gaming</v>
      </c>
      <c r="BE5" s="13">
        <f ca="1"/>
        <v>0</v>
      </c>
      <c r="BF5" s="13">
        <f ca="1"/>
        <v>0</v>
      </c>
      <c r="BG5" s="13">
        <f ca="1"/>
        <v>30076.245500000001</v>
      </c>
      <c r="BI5" t="str">
        <f ca="1"/>
        <v>ICG</v>
      </c>
      <c r="BJ5" s="13">
        <f ca="1"/>
        <v>970.05</v>
      </c>
      <c r="BL5" t="str">
        <f ca="1"/>
        <v>ICG</v>
      </c>
      <c r="BM5" s="13">
        <f ca="1"/>
        <v>1000</v>
      </c>
      <c r="BN5" s="13">
        <f ca="1"/>
        <v>2000</v>
      </c>
      <c r="BP5" s="13" t="str">
        <f ca="1"/>
        <v>ICG</v>
      </c>
      <c r="BQ5" s="13">
        <f ca="1"/>
        <v>970.05</v>
      </c>
      <c r="BS5" s="13" t="str">
        <f ca="1"/>
        <v>BNB</v>
      </c>
      <c r="BT5" s="13">
        <f ca="1"/>
        <v>17975.225971036711</v>
      </c>
      <c r="BV5" s="13" t="str">
        <f ca="1"/>
        <v>BNB</v>
      </c>
      <c r="BW5" s="13">
        <f ca="1"/>
        <v>10413.074510764</v>
      </c>
      <c r="BY5" s="13" t="str" cm="1">
        <f t="array" aca="1" ref="BY5" ca="1">IFERROR(INDEX(A:A, SMALL(IF(M:M&lt;0, ROW(M:M)), ROWS(A$1:A3))), "")</f>
        <v>AXS</v>
      </c>
      <c r="BZ5" s="13" cm="1">
        <f t="array" aca="1" ref="BZ5" ca="1">IFERROR(VLOOKUP(_xlfn.ANCHORARRAY(BY5), A:M,13, FALSE),"")</f>
        <v>-59756.884652169836</v>
      </c>
      <c r="CA5" s="13" cm="1">
        <f t="array" aca="1" ref="CA5" ca="1">IFERROR(VLOOKUP(_xlfn.ANCHORARRAY(BY5), A:Z,26, FALSE),"")</f>
        <v>127.51106410108696</v>
      </c>
      <c r="CB5" s="40" cm="1">
        <f t="array" aca="1" ref="CB5" ca="1">IFERROR(VLOOKUP(_xlfn.ANCHORARRAY(BY5), A:M,10, FALSE),"")</f>
        <v>131.88</v>
      </c>
      <c r="CC5" s="214" cm="1">
        <f t="array" aca="1" ref="CC5" ca="1">IFERROR(VLOOKUP(_xlfn.ANCHORARRAY(BY5), A:X,24, FALSE),"")</f>
        <v>62.77</v>
      </c>
      <c r="CD5" s="40"/>
      <c r="CE5" s="40"/>
      <c r="CF5" s="13">
        <v>10000</v>
      </c>
      <c r="CG5" t="str">
        <v>ANL</v>
      </c>
      <c r="CH5" t="s">
        <v>146</v>
      </c>
    </row>
    <row r="6" spans="1:88" x14ac:dyDescent="0.25">
      <c r="A6" t="str">
        <v>ANW</v>
      </c>
      <c r="B6" s="40">
        <v>0</v>
      </c>
      <c r="C6" s="13">
        <v>0</v>
      </c>
      <c r="D6">
        <v>0</v>
      </c>
      <c r="E6">
        <v>0</v>
      </c>
      <c r="F6">
        <v>10000000</v>
      </c>
      <c r="G6">
        <f ca="1"/>
        <v>10000</v>
      </c>
      <c r="H6">
        <v>10000</v>
      </c>
      <c r="I6">
        <f ca="1"/>
        <v>-89.8</v>
      </c>
      <c r="J6">
        <v>10000000</v>
      </c>
      <c r="K6">
        <f ca="1"/>
        <v>10000</v>
      </c>
      <c r="L6">
        <v>10000</v>
      </c>
      <c r="M6">
        <f ca="1"/>
        <v>-89.8</v>
      </c>
      <c r="N6">
        <v>10000000</v>
      </c>
      <c r="O6">
        <v>10000</v>
      </c>
      <c r="P6">
        <v>0</v>
      </c>
      <c r="Q6">
        <f ca="1"/>
        <v>89.8</v>
      </c>
      <c r="R6" s="40">
        <v>0</v>
      </c>
      <c r="S6">
        <f ca="1"/>
        <v>0</v>
      </c>
      <c r="T6" s="13">
        <f t="shared" si="0"/>
        <v>0</v>
      </c>
      <c r="U6">
        <f ca="1"/>
        <v>0</v>
      </c>
      <c r="V6">
        <f ca="1"/>
        <v>0</v>
      </c>
      <c r="W6">
        <f ca="1"/>
        <v>0</v>
      </c>
      <c r="X6" s="70">
        <v>4.8000000000000001E-2</v>
      </c>
      <c r="Y6" t="s">
        <v>92</v>
      </c>
      <c r="Z6" s="13">
        <v>1E-3</v>
      </c>
      <c r="AA6" s="70"/>
      <c r="AB6">
        <v>5</v>
      </c>
      <c r="AC6" t="str">
        <v>ANW</v>
      </c>
      <c r="AD6" s="1">
        <v>44098</v>
      </c>
      <c r="AE6" s="40">
        <f ca="1"/>
        <v>5000000</v>
      </c>
      <c r="AF6" s="13">
        <f ca="1"/>
        <v>1E-3</v>
      </c>
      <c r="AG6" s="13">
        <f ca="1"/>
        <v>5000</v>
      </c>
      <c r="AH6" s="13">
        <f ca="1"/>
        <v>19.95</v>
      </c>
      <c r="AI6">
        <f ca="1"/>
        <v>5000000</v>
      </c>
      <c r="AJ6" s="40">
        <f ca="1"/>
        <v>10000000</v>
      </c>
      <c r="AK6">
        <f ca="1"/>
        <v>0</v>
      </c>
      <c r="AL6">
        <f ca="1"/>
        <v>0</v>
      </c>
      <c r="AM6">
        <f ca="1"/>
        <v>0</v>
      </c>
      <c r="AN6" t="str">
        <f ca="1"/>
        <v>Short Term</v>
      </c>
      <c r="AP6" t="str">
        <f ca="1"/>
        <v>MKR</v>
      </c>
      <c r="AQ6" s="40">
        <f ca="1"/>
        <v>4000</v>
      </c>
      <c r="AR6" s="13">
        <f ca="1"/>
        <v>1000</v>
      </c>
      <c r="AS6" s="13">
        <f ca="1"/>
        <v>1874.8999999999999</v>
      </c>
      <c r="AT6" s="13">
        <f ca="1"/>
        <v>844.89999999999986</v>
      </c>
      <c r="BD6" t="str">
        <v>Food industries</v>
      </c>
      <c r="BE6" s="13">
        <f ca="1"/>
        <v>22624.184999999998</v>
      </c>
      <c r="BF6" s="13">
        <f ca="1"/>
        <v>22624.184999999998</v>
      </c>
      <c r="BG6" s="13">
        <f ca="1"/>
        <v>10584.28</v>
      </c>
      <c r="BI6" t="str">
        <f ca="1"/>
        <v>ANL</v>
      </c>
      <c r="BJ6" s="13">
        <f ca="1"/>
        <v>966.75</v>
      </c>
      <c r="BL6" t="str">
        <f ca="1"/>
        <v>ANL</v>
      </c>
      <c r="BM6" s="13">
        <f ca="1"/>
        <v>2000</v>
      </c>
      <c r="BN6" s="13">
        <f ca="1"/>
        <v>3000</v>
      </c>
      <c r="BP6" s="13" t="str">
        <f ca="1"/>
        <v>ANL</v>
      </c>
      <c r="BQ6" s="13">
        <f ca="1"/>
        <v>966.75</v>
      </c>
      <c r="BS6" s="13" t="str">
        <f ca="1"/>
        <v>ANW</v>
      </c>
      <c r="BT6" s="13">
        <f ca="1"/>
        <v>10000</v>
      </c>
      <c r="BV6" s="13" t="str">
        <f ca="1"/>
        <v>CCE</v>
      </c>
      <c r="BW6" s="13">
        <f ca="1"/>
        <v>10000</v>
      </c>
      <c r="BY6" s="13" t="str" cm="1">
        <f t="array" aca="1" ref="BY6" ca="1">IFERROR(INDEX(A:A, SMALL(IF(M:M&lt;0, ROW(M:M)), ROWS(A$1:A4))), "")</f>
        <v>BNB</v>
      </c>
      <c r="BZ6" s="13" cm="1">
        <f t="array" aca="1" ref="BZ6" ca="1">IFERROR(VLOOKUP(_xlfn.ANCHORARRAY(BY6), A:M,13, FALSE),"")</f>
        <v>-7598.0790121734844</v>
      </c>
      <c r="CA6" s="13" cm="1">
        <f t="array" aca="1" ref="CA6" ca="1">IFERROR(VLOOKUP(_xlfn.ANCHORARRAY(BY6), A:Z,26, FALSE),"")</f>
        <v>638.13266072510316</v>
      </c>
      <c r="CB6" s="40" cm="1">
        <f t="array" aca="1" ref="CB6" ca="1">IFERROR(VLOOKUP(_xlfn.ANCHORARRAY(BY6), A:M,10, FALSE),"")</f>
        <v>15.815400000000006</v>
      </c>
      <c r="CC6" s="214" cm="1">
        <f t="array" aca="1" ref="CC6" ca="1">IFERROR(VLOOKUP(_xlfn.ANCHORARRAY(BY6), A:X,24, FALSE),"")</f>
        <v>454.78</v>
      </c>
      <c r="CD6" s="40"/>
      <c r="CE6" s="40"/>
      <c r="CF6" s="13">
        <v>15000</v>
      </c>
      <c r="CG6" t="str">
        <v>ANW</v>
      </c>
      <c r="CH6" t="s">
        <v>146</v>
      </c>
    </row>
    <row r="7" spans="1:88" x14ac:dyDescent="0.25">
      <c r="A7" t="str">
        <v>AXS</v>
      </c>
      <c r="B7" s="40">
        <v>611.03</v>
      </c>
      <c r="C7" s="13">
        <v>71544.757321720041</v>
      </c>
      <c r="D7">
        <v>11809.609803653</v>
      </c>
      <c r="E7">
        <v>-59756.884652169836</v>
      </c>
      <c r="F7">
        <v>-479.15</v>
      </c>
      <c r="G7">
        <f ca="1"/>
        <v>0</v>
      </c>
      <c r="H7">
        <v>0</v>
      </c>
      <c r="I7">
        <f ca="1"/>
        <v>0</v>
      </c>
      <c r="J7">
        <v>131.88</v>
      </c>
      <c r="K7">
        <f ca="1"/>
        <v>71544.757321720041</v>
      </c>
      <c r="L7">
        <v>11809.609803653</v>
      </c>
      <c r="M7">
        <f ca="1"/>
        <v>-59756.884652169836</v>
      </c>
      <c r="N7">
        <v>0</v>
      </c>
      <c r="O7">
        <v>0</v>
      </c>
      <c r="P7">
        <v>21.737134102800017</v>
      </c>
      <c r="Q7">
        <f ca="1"/>
        <v>0</v>
      </c>
      <c r="R7" s="40">
        <v>479.15</v>
      </c>
      <c r="S7">
        <f ca="1"/>
        <v>0</v>
      </c>
      <c r="T7" s="13">
        <f t="shared" si="0"/>
        <v>30076.245500000001</v>
      </c>
      <c r="U7">
        <f ca="1"/>
        <v>0</v>
      </c>
      <c r="V7">
        <f ca="1"/>
        <v>0</v>
      </c>
      <c r="W7">
        <f ca="1"/>
        <v>0</v>
      </c>
      <c r="X7" s="70">
        <v>62.77</v>
      </c>
      <c r="Y7" t="s">
        <v>94</v>
      </c>
      <c r="Z7" s="13">
        <v>127.51106410108696</v>
      </c>
      <c r="AA7" s="70"/>
      <c r="AB7">
        <v>6</v>
      </c>
      <c r="AC7" t="str">
        <v>BUB</v>
      </c>
      <c r="AD7" s="1">
        <v>43585</v>
      </c>
      <c r="AE7" s="40">
        <f ca="1"/>
        <v>1600</v>
      </c>
      <c r="AF7" s="13">
        <f ca="1"/>
        <v>1.23</v>
      </c>
      <c r="AG7" s="13">
        <f ca="1"/>
        <v>1968</v>
      </c>
      <c r="AH7" s="13">
        <f ca="1"/>
        <v>19.95</v>
      </c>
      <c r="AI7">
        <f ca="1"/>
        <v>0</v>
      </c>
      <c r="AJ7" s="40">
        <f ca="1"/>
        <v>9348</v>
      </c>
      <c r="AK7">
        <f ca="1"/>
        <v>0</v>
      </c>
      <c r="AL7">
        <f ca="1"/>
        <v>0</v>
      </c>
      <c r="AM7">
        <f ca="1"/>
        <v>0</v>
      </c>
      <c r="AN7" t="str">
        <f ca="1"/>
        <v>Short Term</v>
      </c>
      <c r="AP7" t="str">
        <f ca="1"/>
        <v>RLT</v>
      </c>
      <c r="AQ7" s="40">
        <f ca="1"/>
        <v>836</v>
      </c>
      <c r="AR7" s="13">
        <f ca="1"/>
        <v>999.0200000000001</v>
      </c>
      <c r="AS7" s="13">
        <f ca="1"/>
        <v>1498.42</v>
      </c>
      <c r="AT7" s="13">
        <f ca="1"/>
        <v>469.4</v>
      </c>
      <c r="BD7" t="str">
        <v>Banking</v>
      </c>
      <c r="BE7" s="13">
        <f ca="1"/>
        <v>1000.8449999999999</v>
      </c>
      <c r="BF7" s="13">
        <f ca="1"/>
        <v>1000.8449999999999</v>
      </c>
      <c r="BG7" s="13">
        <f ca="1"/>
        <v>38.68</v>
      </c>
      <c r="BI7" t="str">
        <f ca="1"/>
        <v>MKR</v>
      </c>
      <c r="BJ7" s="13">
        <f ca="1"/>
        <v>844.89999999999986</v>
      </c>
      <c r="BL7" t="str">
        <f ca="1"/>
        <v>MKR</v>
      </c>
      <c r="BM7" s="13">
        <f ca="1"/>
        <v>1000</v>
      </c>
      <c r="BN7" s="13">
        <f ca="1"/>
        <v>1874.8999999999999</v>
      </c>
      <c r="BP7" s="13" t="str">
        <f ca="1"/>
        <v>MKR</v>
      </c>
      <c r="BQ7" s="13">
        <f ca="1"/>
        <v>844.89999999999986</v>
      </c>
      <c r="BS7" s="13" t="str">
        <f ca="1"/>
        <v>BUB</v>
      </c>
      <c r="BT7" s="13">
        <f ca="1"/>
        <v>8198.2400000000052</v>
      </c>
      <c r="BV7" s="13" t="str">
        <f ca="1"/>
        <v>CCE</v>
      </c>
      <c r="BW7" s="13">
        <f ca="1"/>
        <v>10000</v>
      </c>
      <c r="BY7" s="13" t="str" cm="1">
        <f t="array" aca="1" ref="BY7" ca="1">IFERROR(INDEX(A:A, SMALL(IF(M:M&lt;0, ROW(M:M)), ROWS(A$1:A5))), "")</f>
        <v>BUB</v>
      </c>
      <c r="BZ7" s="13" cm="1">
        <f t="array" aca="1" ref="BZ7" ca="1">IFERROR(VLOOKUP(_xlfn.ANCHORARRAY(BY7), A:M,13, FALSE),"")</f>
        <v>-3118.4308270086422</v>
      </c>
      <c r="CA7" s="13" cm="1">
        <f t="array" aca="1" ref="CA7" ca="1">IFERROR(VLOOKUP(_xlfn.ANCHORARRAY(BY7), A:Z,26, FALSE),"")</f>
        <v>0.65718750000000004</v>
      </c>
      <c r="CB7" s="40" cm="1">
        <f t="array" aca="1" ref="CB7" ca="1">IFERROR(VLOOKUP(_xlfn.ANCHORARRAY(BY7), A:M,10, FALSE),"")</f>
        <v>9348</v>
      </c>
      <c r="CC7" s="214" cm="1">
        <f t="array" aca="1" ref="CC7" ca="1">IFERROR(VLOOKUP(_xlfn.ANCHORARRAY(BY7), A:X,24, FALSE),"")</f>
        <v>0.28000000000000003</v>
      </c>
      <c r="CD7" s="40"/>
      <c r="CE7" s="40"/>
      <c r="CF7" s="13">
        <v>20000</v>
      </c>
      <c r="CG7" t="str">
        <v>AXS</v>
      </c>
      <c r="CH7" t="s">
        <v>145</v>
      </c>
    </row>
    <row r="8" spans="1:88" x14ac:dyDescent="0.25">
      <c r="A8" t="str">
        <v>BNB</v>
      </c>
      <c r="B8" s="40">
        <v>26.966406490000001</v>
      </c>
      <c r="C8" s="13">
        <v>17975.225971036711</v>
      </c>
      <c r="D8">
        <v>10413.074510764</v>
      </c>
      <c r="E8">
        <v>-7598.0790121734844</v>
      </c>
      <c r="F8">
        <v>-11.151006489999995</v>
      </c>
      <c r="G8">
        <f ca="1"/>
        <v>0</v>
      </c>
      <c r="H8">
        <v>0</v>
      </c>
      <c r="I8">
        <f ca="1"/>
        <v>0</v>
      </c>
      <c r="J8">
        <v>15.815400000000006</v>
      </c>
      <c r="K8">
        <f ca="1"/>
        <v>17975.225971036711</v>
      </c>
      <c r="L8">
        <v>10413.074510764</v>
      </c>
      <c r="M8">
        <f ca="1"/>
        <v>-7598.0790121734844</v>
      </c>
      <c r="N8">
        <v>0</v>
      </c>
      <c r="O8">
        <v>0</v>
      </c>
      <c r="P8">
        <v>35.927551900773004</v>
      </c>
      <c r="Q8">
        <f ca="1"/>
        <v>0</v>
      </c>
      <c r="R8" s="40">
        <v>11.151006489999995</v>
      </c>
      <c r="S8">
        <f ca="1"/>
        <v>0</v>
      </c>
      <c r="T8" s="13">
        <f t="shared" si="0"/>
        <v>5071.2547315221973</v>
      </c>
      <c r="U8">
        <f ca="1"/>
        <v>0</v>
      </c>
      <c r="V8">
        <f ca="1"/>
        <v>0</v>
      </c>
      <c r="W8">
        <f ca="1"/>
        <v>0</v>
      </c>
      <c r="X8" s="70">
        <v>454.78</v>
      </c>
      <c r="Y8" t="s">
        <v>91</v>
      </c>
      <c r="Z8" s="13">
        <v>638.13266072510316</v>
      </c>
      <c r="AA8" s="70"/>
      <c r="AB8">
        <v>7</v>
      </c>
      <c r="AC8" t="str">
        <v>BUB</v>
      </c>
      <c r="AD8" s="1">
        <v>43858</v>
      </c>
      <c r="AE8" s="40">
        <f ca="1"/>
        <v>1914</v>
      </c>
      <c r="AF8" s="13">
        <f ca="1"/>
        <v>0.94</v>
      </c>
      <c r="AG8" s="13">
        <f ca="1"/>
        <v>1799.1599999999999</v>
      </c>
      <c r="AH8" s="13">
        <f ca="1"/>
        <v>19.96</v>
      </c>
      <c r="AI8">
        <f ca="1"/>
        <v>1600</v>
      </c>
      <c r="AJ8" s="40">
        <f ca="1"/>
        <v>9348</v>
      </c>
      <c r="AK8">
        <f ca="1"/>
        <v>0</v>
      </c>
      <c r="AL8">
        <f ca="1"/>
        <v>0</v>
      </c>
      <c r="AM8">
        <f ca="1"/>
        <v>0</v>
      </c>
      <c r="AN8" t="str">
        <f ca="1"/>
        <v>Short Term</v>
      </c>
      <c r="AP8" t="str">
        <f ca="1"/>
        <v>VML</v>
      </c>
      <c r="AQ8" s="40">
        <f ca="1"/>
        <v>23809</v>
      </c>
      <c r="AR8" s="13">
        <f ca="1"/>
        <v>999.97800000000007</v>
      </c>
      <c r="AS8" s="13">
        <f ca="1"/>
        <v>1426.9639999999999</v>
      </c>
      <c r="AT8" s="13">
        <f ca="1"/>
        <v>396.96599999999989</v>
      </c>
      <c r="BD8" t="str">
        <v xml:space="preserve">Health </v>
      </c>
      <c r="BE8" s="13">
        <f ca="1"/>
        <v>999.54000000000008</v>
      </c>
      <c r="BF8" s="13">
        <f ca="1"/>
        <v>999.54000000000008</v>
      </c>
      <c r="BG8" s="13">
        <f ca="1"/>
        <v>203.61</v>
      </c>
      <c r="BI8" t="str">
        <f ca="1"/>
        <v>RLT</v>
      </c>
      <c r="BJ8" s="13">
        <f ca="1"/>
        <v>469.4</v>
      </c>
      <c r="BL8" t="str">
        <f ca="1"/>
        <v>RLT</v>
      </c>
      <c r="BM8" s="13">
        <f ca="1"/>
        <v>999.0200000000001</v>
      </c>
      <c r="BN8" s="13">
        <f ca="1"/>
        <v>1498.42</v>
      </c>
      <c r="BP8" s="13" t="str">
        <f ca="1"/>
        <v>RLT</v>
      </c>
      <c r="BQ8" s="13">
        <f ca="1"/>
        <v>469.4</v>
      </c>
      <c r="BS8" s="13" t="str">
        <f ca="1"/>
        <v>BUD</v>
      </c>
      <c r="BT8" s="13">
        <f ca="1"/>
        <v>5791.8449999999993</v>
      </c>
      <c r="BV8" s="13" t="str">
        <f ca="1"/>
        <v>SHIB</v>
      </c>
      <c r="BW8" s="13">
        <f ca="1"/>
        <v>7078.6270396300006</v>
      </c>
      <c r="BY8" s="13" t="str" cm="1">
        <f t="array" aca="1" ref="BY8" ca="1">IFERROR(INDEX(A:A, SMALL(IF(M:M&lt;0, ROW(M:M)), ROWS(A$1:A6))), "")</f>
        <v>CBA</v>
      </c>
      <c r="BZ8" s="13" cm="1">
        <f t="array" aca="1" ref="BZ8" ca="1">IFERROR(VLOOKUP(_xlfn.ANCHORARRAY(BY8), A:M,13, FALSE),"")</f>
        <v>-60.699999999999953</v>
      </c>
      <c r="CA8" s="13" cm="1">
        <f t="array" aca="1" ref="CA8" ca="1">IFERROR(VLOOKUP(_xlfn.ANCHORARRAY(BY8), A:Z,26, FALSE),"")</f>
        <v>75.400000000000006</v>
      </c>
      <c r="CB8" s="40" cm="1">
        <f t="array" aca="1" ref="CB8" ca="1">IFERROR(VLOOKUP(_xlfn.ANCHORARRAY(BY8), A:M,10, FALSE),"")</f>
        <v>26</v>
      </c>
      <c r="CC8" s="214" cm="1">
        <f t="array" aca="1" ref="CC8" ca="1">IFERROR(VLOOKUP(_xlfn.ANCHORARRAY(BY8), A:X,24, FALSE),"")</f>
        <v>101.52</v>
      </c>
      <c r="CD8" s="40"/>
      <c r="CE8" s="40"/>
      <c r="CF8" s="13">
        <v>50000</v>
      </c>
      <c r="CG8" t="str">
        <v>BNB</v>
      </c>
      <c r="CH8" t="s">
        <v>145</v>
      </c>
    </row>
    <row r="9" spans="1:88" x14ac:dyDescent="0.25">
      <c r="A9" t="str">
        <v>BUB</v>
      </c>
      <c r="B9" s="40">
        <v>0</v>
      </c>
      <c r="C9" s="13">
        <v>0</v>
      </c>
      <c r="D9">
        <v>0</v>
      </c>
      <c r="E9">
        <v>0</v>
      </c>
      <c r="F9">
        <v>9348</v>
      </c>
      <c r="G9">
        <f ca="1"/>
        <v>8198.2400000000052</v>
      </c>
      <c r="H9">
        <v>5175.99</v>
      </c>
      <c r="I9">
        <f ca="1"/>
        <v>-3118.4308270086422</v>
      </c>
      <c r="J9">
        <v>9348</v>
      </c>
      <c r="K9">
        <f ca="1"/>
        <v>8198.2400000000052</v>
      </c>
      <c r="L9">
        <v>5175.99</v>
      </c>
      <c r="M9">
        <f ca="1"/>
        <v>-3118.4308270086422</v>
      </c>
      <c r="N9">
        <v>47149</v>
      </c>
      <c r="O9">
        <v>30822.425000000003</v>
      </c>
      <c r="P9">
        <v>0</v>
      </c>
      <c r="Q9">
        <f ca="1"/>
        <v>96.180827008636498</v>
      </c>
      <c r="R9" s="40">
        <v>37801</v>
      </c>
      <c r="S9">
        <f ca="1"/>
        <v>40933</v>
      </c>
      <c r="T9" s="13">
        <f t="shared" si="0"/>
        <v>10584.28</v>
      </c>
      <c r="U9">
        <f ca="1"/>
        <v>22624.184999999998</v>
      </c>
      <c r="V9">
        <f ca="1"/>
        <v>0.59850757916457231</v>
      </c>
      <c r="W9">
        <f ca="1"/>
        <v>133.36917299136351</v>
      </c>
      <c r="X9" s="70">
        <v>0.28000000000000003</v>
      </c>
      <c r="Y9" t="s">
        <v>93</v>
      </c>
      <c r="Z9" s="13">
        <v>0.65718750000000004</v>
      </c>
      <c r="AA9" s="70"/>
      <c r="AB9">
        <v>8</v>
      </c>
      <c r="AC9" t="str">
        <v>BUB</v>
      </c>
      <c r="AD9" s="1">
        <v>43867</v>
      </c>
      <c r="AE9" s="40">
        <f ca="1"/>
        <v>2702</v>
      </c>
      <c r="AF9" s="13">
        <f ca="1"/>
        <v>0.73</v>
      </c>
      <c r="AG9" s="13">
        <f ca="1"/>
        <v>1972.46</v>
      </c>
      <c r="AH9" s="13">
        <f ca="1"/>
        <v>19.96</v>
      </c>
      <c r="AI9">
        <f ca="1"/>
        <v>3514</v>
      </c>
      <c r="AJ9" s="40">
        <f ca="1"/>
        <v>9348</v>
      </c>
      <c r="AK9">
        <f ca="1"/>
        <v>0</v>
      </c>
      <c r="AL9">
        <f ca="1"/>
        <v>0</v>
      </c>
      <c r="AM9">
        <f ca="1"/>
        <v>0</v>
      </c>
      <c r="AN9" t="str">
        <f ca="1"/>
        <v>Short Term</v>
      </c>
      <c r="AP9" t="str">
        <f ca="1"/>
        <v>BUD</v>
      </c>
      <c r="AQ9" s="40">
        <f ca="1"/>
        <v>200659</v>
      </c>
      <c r="AR9" s="13">
        <f ca="1"/>
        <v>5791.8449999999993</v>
      </c>
      <c r="AS9" s="13">
        <f ca="1"/>
        <v>6123.0650000000005</v>
      </c>
      <c r="AT9" s="13">
        <f ca="1"/>
        <v>196.80825183411727</v>
      </c>
      <c r="BI9" t="str">
        <f ca="1"/>
        <v>VML</v>
      </c>
      <c r="BJ9" s="13">
        <f ca="1"/>
        <v>396.96599999999989</v>
      </c>
      <c r="BL9" t="str">
        <f ca="1"/>
        <v>VML</v>
      </c>
      <c r="BM9" s="13">
        <f ca="1"/>
        <v>999.97800000000007</v>
      </c>
      <c r="BN9" s="13">
        <f ca="1"/>
        <v>1426.9639999999999</v>
      </c>
      <c r="BP9" s="13" t="str">
        <f ca="1"/>
        <v>VML</v>
      </c>
      <c r="BQ9" s="13">
        <f ca="1"/>
        <v>396.96599999999989</v>
      </c>
      <c r="BS9" s="13" t="str">
        <f ca="1"/>
        <v>SHIB</v>
      </c>
      <c r="BT9" s="13">
        <f ca="1"/>
        <v>5470.0684773200001</v>
      </c>
      <c r="BV9" s="13" t="str">
        <f ca="1"/>
        <v>BUD</v>
      </c>
      <c r="BW9" s="13">
        <f ca="1"/>
        <v>6123.0650000000005</v>
      </c>
      <c r="BY9" s="13" t="str" cm="1">
        <f t="array" aca="1" ref="BY9" ca="1">IFERROR(INDEX(A:A, SMALL(IF(M:M&lt;0, ROW(M:M)), ROWS(A$1:A7))), "")</f>
        <v>DOGE</v>
      </c>
      <c r="BZ9" s="13" cm="1">
        <f t="array" aca="1" ref="BZ9" ca="1">IFERROR(VLOOKUP(_xlfn.ANCHORARRAY(BY9), A:M,13, FALSE),"")</f>
        <v>-51.18604244241093</v>
      </c>
      <c r="CA9" s="13" cm="1">
        <f t="array" aca="1" ref="CA9" ca="1">IFERROR(VLOOKUP(_xlfn.ANCHORARRAY(BY9), A:Z,26, FALSE),"")</f>
        <v>0.34408065799090909</v>
      </c>
      <c r="CB9" s="40" cm="1">
        <f t="array" aca="1" ref="CB9" ca="1">IFERROR(VLOOKUP(_xlfn.ANCHORARRAY(BY9), A:M,10, FALSE),"")</f>
        <v>5388.3</v>
      </c>
      <c r="CC9" s="214" cm="1">
        <f t="array" aca="1" ref="CC9" ca="1">IFERROR(VLOOKUP(_xlfn.ANCHORARRAY(BY9), A:X,24, FALSE),"")</f>
        <v>0.13</v>
      </c>
      <c r="CD9" s="40"/>
      <c r="CE9" s="40"/>
      <c r="CF9" s="13">
        <v>100000</v>
      </c>
      <c r="CG9" t="str">
        <v>BUB</v>
      </c>
      <c r="CH9" t="s">
        <v>146</v>
      </c>
    </row>
    <row r="10" spans="1:88" x14ac:dyDescent="0.25">
      <c r="A10" t="str">
        <v>BUD</v>
      </c>
      <c r="B10" s="40">
        <v>0</v>
      </c>
      <c r="C10" s="13">
        <v>0</v>
      </c>
      <c r="D10">
        <v>0</v>
      </c>
      <c r="E10">
        <v>0</v>
      </c>
      <c r="F10">
        <v>200659</v>
      </c>
      <c r="G10">
        <f ca="1"/>
        <v>5791.8449999999993</v>
      </c>
      <c r="H10">
        <v>6123.0650000000005</v>
      </c>
      <c r="I10">
        <f ca="1"/>
        <v>196.80825183411727</v>
      </c>
      <c r="J10">
        <v>200659</v>
      </c>
      <c r="K10">
        <f ca="1"/>
        <v>5791.8449999999993</v>
      </c>
      <c r="L10">
        <v>6123.0650000000005</v>
      </c>
      <c r="M10">
        <f ca="1"/>
        <v>196.80825183411727</v>
      </c>
      <c r="N10">
        <v>589547</v>
      </c>
      <c r="O10">
        <v>10341.832999999999</v>
      </c>
      <c r="P10">
        <v>0</v>
      </c>
      <c r="Q10">
        <f ca="1"/>
        <v>134.41174816588389</v>
      </c>
      <c r="R10" s="40">
        <v>388888</v>
      </c>
      <c r="S10">
        <f ca="1"/>
        <v>419196</v>
      </c>
      <c r="T10" s="13">
        <f t="shared" si="0"/>
        <v>50555.44</v>
      </c>
      <c r="U10">
        <f ca="1"/>
        <v>4549.9879999999994</v>
      </c>
      <c r="V10">
        <f ca="1"/>
        <v>1.169999588570488E-2</v>
      </c>
      <c r="W10">
        <f ca="1"/>
        <v>45.298251834116094</v>
      </c>
      <c r="X10" s="70">
        <v>0.13</v>
      </c>
      <c r="Y10" t="s">
        <v>89</v>
      </c>
      <c r="Z10" s="13">
        <v>2.7166666666666662E-2</v>
      </c>
      <c r="AA10" s="70"/>
      <c r="AB10">
        <v>9</v>
      </c>
      <c r="AC10" t="str">
        <v>BUB</v>
      </c>
      <c r="AD10" s="1">
        <v>44092</v>
      </c>
      <c r="AE10" s="40">
        <f ca="1"/>
        <v>3821</v>
      </c>
      <c r="AF10" s="13">
        <f ca="1"/>
        <v>0.78500000000000003</v>
      </c>
      <c r="AG10" s="13">
        <f ca="1"/>
        <v>2999.4850000000001</v>
      </c>
      <c r="AH10" s="13">
        <f ca="1"/>
        <v>19.96</v>
      </c>
      <c r="AI10">
        <f ca="1"/>
        <v>6216</v>
      </c>
      <c r="AJ10" s="40">
        <f ca="1"/>
        <v>9348</v>
      </c>
      <c r="AK10">
        <f ca="1"/>
        <v>689</v>
      </c>
      <c r="AL10">
        <f ca="1"/>
        <v>540.86500000000001</v>
      </c>
      <c r="AM10">
        <f ca="1"/>
        <v>3.5991729913635173</v>
      </c>
      <c r="AN10" t="str">
        <f ca="1"/>
        <v>Long Term</v>
      </c>
      <c r="AP10" t="str">
        <f ca="1"/>
        <v>LAZIO</v>
      </c>
      <c r="AQ10" s="40">
        <f ca="1"/>
        <v>27.61</v>
      </c>
      <c r="AR10" s="13">
        <f ca="1"/>
        <v>14.081099999999999</v>
      </c>
      <c r="AS10" s="13">
        <f ca="1"/>
        <v>119.8726214787</v>
      </c>
      <c r="AT10" s="13">
        <f ca="1"/>
        <v>105.76832103446299</v>
      </c>
      <c r="BI10" t="str">
        <f ca="1"/>
        <v>BUD</v>
      </c>
      <c r="BJ10" s="13">
        <f ca="1"/>
        <v>196.80825183411727</v>
      </c>
      <c r="BL10" t="str">
        <f ca="1"/>
        <v>BUD</v>
      </c>
      <c r="BM10" s="13">
        <f ca="1"/>
        <v>5791.8449999999993</v>
      </c>
      <c r="BN10" s="13">
        <f ca="1"/>
        <v>6123.0650000000005</v>
      </c>
      <c r="BP10" s="13" t="str">
        <f ca="1"/>
        <v>BUD</v>
      </c>
      <c r="BQ10" s="13">
        <f ca="1"/>
        <v>196.80825183411727</v>
      </c>
      <c r="BS10" s="13" t="str">
        <f ca="1"/>
        <v>CCE</v>
      </c>
      <c r="BT10" s="13">
        <f ca="1"/>
        <v>5000</v>
      </c>
      <c r="BV10" s="13" t="str">
        <f ca="1"/>
        <v>BUB</v>
      </c>
      <c r="BW10" s="13">
        <f ca="1"/>
        <v>5175.99</v>
      </c>
      <c r="BY10" s="13" t="str" cm="1">
        <f t="array" aca="1" ref="BY10" ca="1">IFERROR(INDEX(A:A, SMALL(IF(M:M&lt;0, ROW(M:M)), ROWS(A$1:A8))), "")</f>
        <v>FFF</v>
      </c>
      <c r="BZ10" s="13" cm="1">
        <f t="array" aca="1" ref="BZ10" ca="1">IFERROR(VLOOKUP(_xlfn.ANCHORARRAY(BY10), A:M,13, FALSE),"")</f>
        <v>-2271.0249999999996</v>
      </c>
      <c r="CA10" s="13" cm="1">
        <f t="array" aca="1" ref="CA10" ca="1">IFERROR(VLOOKUP(_xlfn.ANCHORARRAY(BY10), A:Z,26, FALSE),"")</f>
        <v>0.26666666666666666</v>
      </c>
      <c r="CB10" s="40" cm="1">
        <f t="array" aca="1" ref="CB10" ca="1">IFERROR(VLOOKUP(_xlfn.ANCHORARRAY(BY10), A:M,10, FALSE),"")</f>
        <v>12334</v>
      </c>
      <c r="CC10" s="214" cm="1">
        <f t="array" aca="1" ref="CC10" ca="1">IFERROR(VLOOKUP(_xlfn.ANCHORARRAY(BY10), A:X,24, FALSE),"")</f>
        <v>2.3E-2</v>
      </c>
      <c r="CD10" s="40"/>
      <c r="CE10" s="40"/>
      <c r="CG10" t="str">
        <v>BUD</v>
      </c>
      <c r="CH10" t="s">
        <v>146</v>
      </c>
    </row>
    <row r="11" spans="1:88" x14ac:dyDescent="0.25">
      <c r="A11" t="str">
        <v>CBA</v>
      </c>
      <c r="B11" s="40">
        <v>0</v>
      </c>
      <c r="C11" s="13">
        <v>0</v>
      </c>
      <c r="D11">
        <v>0</v>
      </c>
      <c r="E11">
        <v>0</v>
      </c>
      <c r="F11">
        <v>26</v>
      </c>
      <c r="G11">
        <f ca="1"/>
        <v>1970.8</v>
      </c>
      <c r="H11">
        <v>1950</v>
      </c>
      <c r="I11">
        <f ca="1"/>
        <v>-60.699999999999953</v>
      </c>
      <c r="J11">
        <v>26</v>
      </c>
      <c r="K11">
        <f ca="1"/>
        <v>1970.8</v>
      </c>
      <c r="L11">
        <v>1950</v>
      </c>
      <c r="M11">
        <f ca="1"/>
        <v>-60.699999999999953</v>
      </c>
      <c r="N11">
        <v>26</v>
      </c>
      <c r="O11">
        <v>1970.8</v>
      </c>
      <c r="P11">
        <v>0</v>
      </c>
      <c r="Q11">
        <f ca="1"/>
        <v>39.9</v>
      </c>
      <c r="R11" s="40">
        <v>0</v>
      </c>
      <c r="S11">
        <f ca="1"/>
        <v>0</v>
      </c>
      <c r="T11" s="13">
        <f t="shared" si="0"/>
        <v>0</v>
      </c>
      <c r="U11">
        <f ca="1"/>
        <v>0</v>
      </c>
      <c r="V11">
        <f ca="1"/>
        <v>0</v>
      </c>
      <c r="W11">
        <f ca="1"/>
        <v>0</v>
      </c>
      <c r="X11" s="70">
        <v>101.52</v>
      </c>
      <c r="Y11" t="s">
        <v>95</v>
      </c>
      <c r="Z11" s="13">
        <v>75.400000000000006</v>
      </c>
      <c r="AA11" s="70"/>
      <c r="AB11">
        <v>10</v>
      </c>
      <c r="AC11" t="str">
        <v>BUB</v>
      </c>
      <c r="AD11" s="1">
        <v>44099</v>
      </c>
      <c r="AE11" s="40">
        <f ca="1"/>
        <v>3973</v>
      </c>
      <c r="AF11" s="13">
        <f ca="1"/>
        <v>0.755</v>
      </c>
      <c r="AG11" s="13">
        <f ca="1"/>
        <v>2999.6150000000002</v>
      </c>
      <c r="AH11" s="13">
        <f ca="1"/>
        <v>19.96</v>
      </c>
      <c r="AI11">
        <f ca="1"/>
        <v>10037</v>
      </c>
      <c r="AJ11" s="40">
        <f ca="1"/>
        <v>9348</v>
      </c>
      <c r="AK11">
        <f ca="1"/>
        <v>3973</v>
      </c>
      <c r="AL11">
        <f ca="1"/>
        <v>2999.6150000000002</v>
      </c>
      <c r="AM11">
        <f ca="1"/>
        <v>19.96</v>
      </c>
      <c r="AN11" t="str">
        <f ca="1"/>
        <v>Long Term</v>
      </c>
      <c r="AP11" t="str">
        <f ca="1"/>
        <v>VOXEL</v>
      </c>
      <c r="AQ11" s="40">
        <f ca="1"/>
        <v>28.5</v>
      </c>
      <c r="AR11" s="13">
        <f ca="1"/>
        <v>2.85</v>
      </c>
      <c r="AS11" s="13">
        <f ca="1"/>
        <v>91.553695402500011</v>
      </c>
      <c r="AT11" s="13">
        <f ca="1"/>
        <v>88.693564193953421</v>
      </c>
      <c r="BI11" t="str">
        <f ca="1"/>
        <v>LAZIO</v>
      </c>
      <c r="BJ11" s="13">
        <f ca="1"/>
        <v>105.76832103446299</v>
      </c>
      <c r="BL11" t="str">
        <f ca="1"/>
        <v>LAZIO</v>
      </c>
      <c r="BM11" s="13">
        <f ca="1"/>
        <v>14.081099999999999</v>
      </c>
      <c r="BN11" s="13">
        <f ca="1"/>
        <v>119.8726214787</v>
      </c>
      <c r="BP11" s="13" t="str">
        <f ca="1"/>
        <v>LAZIO</v>
      </c>
      <c r="BQ11" s="13">
        <f ca="1"/>
        <v>105.76832103446299</v>
      </c>
      <c r="BS11" s="13" t="str">
        <f ca="1"/>
        <v>TNT</v>
      </c>
      <c r="BT11" s="13">
        <f ca="1"/>
        <v>4999.88</v>
      </c>
      <c r="BV11" s="13" t="str">
        <f ca="1"/>
        <v>ANL</v>
      </c>
      <c r="BW11" s="13">
        <f ca="1"/>
        <v>3000</v>
      </c>
      <c r="BY11" s="13" t="str" cm="1">
        <f t="array" aca="1" ref="BY11" ca="1">IFERROR(INDEX(A:A, SMALL(IF(M:M&lt;0, ROW(M:M)), ROWS(A$1:A9))), "")</f>
        <v>MANA</v>
      </c>
      <c r="BZ11" s="13" cm="1">
        <f t="array" aca="1" ref="BZ11" ca="1">IFERROR(VLOOKUP(_xlfn.ANCHORARRAY(BY11), A:M,13, FALSE),"")</f>
        <v>-1097.2427075328167</v>
      </c>
      <c r="CA11" s="13" cm="1">
        <f t="array" aca="1" ref="CA11" ca="1">IFERROR(VLOOKUP(_xlfn.ANCHORARRAY(BY11), A:Z,26, FALSE),"")</f>
        <v>5.2651917275714286</v>
      </c>
      <c r="CB11" s="40" cm="1">
        <f t="array" aca="1" ref="CB11" ca="1">IFERROR(VLOOKUP(_xlfn.ANCHORARRAY(BY11), A:M,10, FALSE),"")</f>
        <v>89</v>
      </c>
      <c r="CC11" s="214" cm="1">
        <f t="array" aca="1" ref="CC11" ca="1">IFERROR(VLOOKUP(_xlfn.ANCHORARRAY(BY11), A:X,24, FALSE),"")</f>
        <v>1.07</v>
      </c>
      <c r="CD11" s="40"/>
      <c r="CE11" s="40"/>
      <c r="CG11" t="str">
        <v>CBA</v>
      </c>
      <c r="CH11" t="s">
        <v>146</v>
      </c>
    </row>
    <row r="12" spans="1:88" x14ac:dyDescent="0.25">
      <c r="A12" t="str">
        <v>CCE</v>
      </c>
      <c r="B12" s="40">
        <v>0</v>
      </c>
      <c r="C12" s="13">
        <v>0</v>
      </c>
      <c r="D12">
        <v>0</v>
      </c>
      <c r="E12">
        <v>0</v>
      </c>
      <c r="F12">
        <v>5000000</v>
      </c>
      <c r="G12">
        <f ca="1"/>
        <v>5000</v>
      </c>
      <c r="H12">
        <v>10000</v>
      </c>
      <c r="I12">
        <f ca="1"/>
        <v>4940.1499999999996</v>
      </c>
      <c r="J12">
        <v>5000000</v>
      </c>
      <c r="K12">
        <f ca="1"/>
        <v>5000</v>
      </c>
      <c r="L12">
        <v>10000</v>
      </c>
      <c r="M12">
        <f ca="1"/>
        <v>4940.1499999999996</v>
      </c>
      <c r="N12">
        <v>5000000</v>
      </c>
      <c r="O12">
        <v>5000</v>
      </c>
      <c r="P12">
        <v>0</v>
      </c>
      <c r="Q12">
        <f ca="1"/>
        <v>59.849999999999994</v>
      </c>
      <c r="R12" s="40">
        <v>0</v>
      </c>
      <c r="S12">
        <f ca="1"/>
        <v>0</v>
      </c>
      <c r="T12" s="13">
        <f t="shared" si="0"/>
        <v>0</v>
      </c>
      <c r="U12">
        <f ca="1"/>
        <v>0</v>
      </c>
      <c r="V12">
        <f ca="1"/>
        <v>0</v>
      </c>
      <c r="W12">
        <f ca="1"/>
        <v>0</v>
      </c>
      <c r="X12" s="70">
        <v>2E-3</v>
      </c>
      <c r="Y12" t="s">
        <v>92</v>
      </c>
      <c r="Z12" s="13">
        <v>1.6666666666666668E-3</v>
      </c>
      <c r="AA12" s="70"/>
      <c r="AB12">
        <v>11</v>
      </c>
      <c r="AC12" t="str">
        <v>BUB</v>
      </c>
      <c r="AD12" s="1">
        <v>44106</v>
      </c>
      <c r="AE12" s="40">
        <f ca="1"/>
        <v>6896</v>
      </c>
      <c r="AF12" s="13">
        <f ca="1"/>
        <v>0.72499999999999998</v>
      </c>
      <c r="AG12" s="13">
        <f ca="1"/>
        <v>4999.5999999999995</v>
      </c>
      <c r="AH12" s="13">
        <f ca="1"/>
        <v>19.95</v>
      </c>
      <c r="AI12">
        <f ca="1"/>
        <v>14010</v>
      </c>
      <c r="AJ12" s="40">
        <f ca="1"/>
        <v>9348</v>
      </c>
      <c r="AK12">
        <f ca="1"/>
        <v>6896</v>
      </c>
      <c r="AL12">
        <f ca="1"/>
        <v>4999.5999999999995</v>
      </c>
      <c r="AM12">
        <f ca="1"/>
        <v>19.95</v>
      </c>
      <c r="AN12" t="str">
        <f ca="1"/>
        <v>Long Term</v>
      </c>
      <c r="AP12" t="str">
        <f ca="1"/>
        <v>GMT</v>
      </c>
      <c r="AQ12" s="40">
        <f ca="1"/>
        <v>546.6</v>
      </c>
      <c r="AR12" s="13">
        <f ca="1"/>
        <v>7.6999542000000005</v>
      </c>
      <c r="AS12" s="13">
        <f ca="1"/>
        <v>92.922000000000011</v>
      </c>
      <c r="AT12" s="13">
        <f ca="1"/>
        <v>85.132045800000014</v>
      </c>
      <c r="BI12" t="str">
        <f ca="1"/>
        <v>VOXEL</v>
      </c>
      <c r="BJ12" s="13">
        <f ca="1"/>
        <v>88.693564193953421</v>
      </c>
      <c r="BL12" t="str">
        <f ca="1"/>
        <v>VOXEL</v>
      </c>
      <c r="BM12" s="13">
        <f ca="1"/>
        <v>2.85</v>
      </c>
      <c r="BN12" s="13">
        <f ca="1"/>
        <v>91.553695402500011</v>
      </c>
      <c r="BP12" s="13" t="str">
        <f ca="1"/>
        <v>VOXEL</v>
      </c>
      <c r="BQ12" s="13">
        <f ca="1"/>
        <v>88.693564193953421</v>
      </c>
      <c r="BS12" s="13" t="str">
        <f ca="1"/>
        <v>FFF</v>
      </c>
      <c r="BT12" s="13">
        <f ca="1"/>
        <v>3999.6049999999996</v>
      </c>
      <c r="BV12" s="13" t="str">
        <f ca="1"/>
        <v>TNT</v>
      </c>
      <c r="BW12" s="13">
        <f ca="1"/>
        <v>2647.2000000000003</v>
      </c>
      <c r="BY12" s="13" t="str" cm="1">
        <f t="array" aca="1" ref="BY12" ca="1">IFERROR(INDEX(A:A, SMALL(IF(M:M&lt;0, ROW(M:M)), ROWS(A$1:A10))), "")</f>
        <v>SYI</v>
      </c>
      <c r="BZ12" s="13" cm="1">
        <f t="array" aca="1" ref="BZ12" ca="1">IFERROR(VLOOKUP(_xlfn.ANCHORARRAY(BY12), A:M,13, FALSE),"")</f>
        <v>-4.7000000000000455</v>
      </c>
      <c r="CA12" s="13" cm="1">
        <f t="array" aca="1" ref="CA12" ca="1">IFERROR(VLOOKUP(_xlfn.ANCHORARRAY(BY12), A:Z,26, FALSE),"")</f>
        <v>28.914999999999999</v>
      </c>
      <c r="CB12" s="40" cm="1">
        <f t="array" aca="1" ref="CB12" ca="1">IFERROR(VLOOKUP(_xlfn.ANCHORARRAY(BY12), A:M,10, FALSE),"")</f>
        <v>34</v>
      </c>
      <c r="CC12" s="214" cm="1">
        <f t="array" aca="1" ref="CC12" ca="1">IFERROR(VLOOKUP(_xlfn.ANCHORARRAY(BY12), A:X,24, FALSE),"")</f>
        <v>28.41</v>
      </c>
      <c r="CD12" s="40"/>
      <c r="CE12" s="40"/>
      <c r="CG12" t="str">
        <v>CCE</v>
      </c>
      <c r="CH12" t="s">
        <v>146</v>
      </c>
    </row>
    <row r="13" spans="1:88" x14ac:dyDescent="0.25">
      <c r="A13" t="str">
        <v>DOGE</v>
      </c>
      <c r="B13" s="40">
        <v>5388.3215374000001</v>
      </c>
      <c r="C13" s="13">
        <v>1706.9970853726311</v>
      </c>
      <c r="D13">
        <v>1660.8535650052202</v>
      </c>
      <c r="E13">
        <v>-51.18604244241093</v>
      </c>
      <c r="F13">
        <v>-2.1537399999942863E-2</v>
      </c>
      <c r="G13">
        <f ca="1"/>
        <v>0</v>
      </c>
      <c r="H13">
        <v>0</v>
      </c>
      <c r="I13">
        <f ca="1"/>
        <v>0</v>
      </c>
      <c r="J13">
        <v>5388.3</v>
      </c>
      <c r="K13">
        <f ca="1"/>
        <v>1706.9970853726311</v>
      </c>
      <c r="L13">
        <v>1660.8535650052202</v>
      </c>
      <c r="M13">
        <f ca="1"/>
        <v>-51.18604244241093</v>
      </c>
      <c r="N13">
        <v>0</v>
      </c>
      <c r="O13">
        <v>0</v>
      </c>
      <c r="P13">
        <v>5.0425220750000008</v>
      </c>
      <c r="Q13">
        <f ca="1"/>
        <v>0</v>
      </c>
      <c r="R13" s="40">
        <v>2.1537399999942863E-2</v>
      </c>
      <c r="S13">
        <f ca="1"/>
        <v>0</v>
      </c>
      <c r="T13" s="13">
        <f t="shared" si="0"/>
        <v>2.7998619999925725E-3</v>
      </c>
      <c r="U13">
        <f ca="1"/>
        <v>0</v>
      </c>
      <c r="V13">
        <f ca="1"/>
        <v>0</v>
      </c>
      <c r="W13">
        <f ca="1"/>
        <v>0</v>
      </c>
      <c r="X13" s="70">
        <v>0.13</v>
      </c>
      <c r="Y13" t="s">
        <v>91</v>
      </c>
      <c r="Z13" s="13">
        <v>0.34408065799090909</v>
      </c>
      <c r="AA13" s="70"/>
      <c r="AB13">
        <v>12</v>
      </c>
      <c r="AC13" t="str">
        <v>BUB</v>
      </c>
      <c r="AD13" s="1">
        <v>44141</v>
      </c>
      <c r="AE13" s="40">
        <f ca="1"/>
        <v>3021</v>
      </c>
      <c r="AF13" s="13">
        <f ca="1"/>
        <v>0.66</v>
      </c>
      <c r="AG13" s="13">
        <f ca="1"/>
        <v>1993.8600000000001</v>
      </c>
      <c r="AH13" s="13">
        <f ca="1"/>
        <v>5</v>
      </c>
      <c r="AI13">
        <f ca="1"/>
        <v>20906</v>
      </c>
      <c r="AJ13" s="40">
        <f ca="1"/>
        <v>9348</v>
      </c>
      <c r="AK13">
        <f ca="1"/>
        <v>3021</v>
      </c>
      <c r="AL13">
        <f ca="1"/>
        <v>1993.8600000000001</v>
      </c>
      <c r="AM13">
        <f ca="1"/>
        <v>5</v>
      </c>
      <c r="AN13" t="str">
        <f ca="1"/>
        <v>Long Term</v>
      </c>
      <c r="AP13" t="str">
        <f ca="1"/>
        <v>NDQ</v>
      </c>
      <c r="AQ13" s="40">
        <f ca="1"/>
        <v>70</v>
      </c>
      <c r="AR13" s="13">
        <f ca="1"/>
        <v>1966.80484</v>
      </c>
      <c r="AS13" s="13">
        <f ca="1"/>
        <v>2055.9800100000002</v>
      </c>
      <c r="AT13" s="13">
        <f ca="1"/>
        <v>81.12517000000021</v>
      </c>
      <c r="BI13" t="str">
        <f ca="1"/>
        <v>GMT</v>
      </c>
      <c r="BJ13" s="13">
        <f ca="1"/>
        <v>85.132045800000014</v>
      </c>
      <c r="BL13" t="str">
        <f ca="1"/>
        <v>GMT</v>
      </c>
      <c r="BM13" s="13">
        <f ca="1"/>
        <v>7.6999542000000005</v>
      </c>
      <c r="BN13" s="13">
        <f ca="1"/>
        <v>92.922000000000011</v>
      </c>
      <c r="BY13" s="13" t="str" cm="1">
        <f t="array" aca="1" ref="BY13" ca="1">IFERROR(INDEX(A:A, SMALL(IF(M:M&lt;0, ROW(M:M)), ROWS(A$1:A11))), "")</f>
        <v>TNT</v>
      </c>
      <c r="BZ13" s="13" cm="1">
        <f t="array" aca="1" ref="BZ13" ca="1">IFERROR(VLOOKUP(_xlfn.ANCHORARRAY(BY13), A:M,13, FALSE),"")</f>
        <v>-2412.5299999999997</v>
      </c>
      <c r="CA13" s="13" cm="1">
        <f t="array" aca="1" ref="CA13" ca="1">IFERROR(VLOOKUP(_xlfn.ANCHORARRAY(BY13), A:Z,26, FALSE),"")</f>
        <v>0.32</v>
      </c>
      <c r="CB13" s="40" cm="1">
        <f t="array" aca="1" ref="CB13" ca="1">IFERROR(VLOOKUP(_xlfn.ANCHORARRAY(BY13), A:M,10, FALSE),"")</f>
        <v>13236</v>
      </c>
      <c r="CC13" s="214" cm="1">
        <f t="array" aca="1" ref="CC13" ca="1">IFERROR(VLOOKUP(_xlfn.ANCHORARRAY(BY13), A:X,24, FALSE),"")</f>
        <v>8.6999999999999994E-2</v>
      </c>
      <c r="CD13" s="40"/>
      <c r="CE13" s="40"/>
      <c r="CG13" t="str">
        <v>DOGE</v>
      </c>
      <c r="CH13" t="s">
        <v>145</v>
      </c>
    </row>
    <row r="14" spans="1:88" x14ac:dyDescent="0.25">
      <c r="A14" t="str">
        <v>DUG</v>
      </c>
      <c r="B14" s="40">
        <v>0</v>
      </c>
      <c r="C14" s="13">
        <v>0</v>
      </c>
      <c r="D14">
        <v>0</v>
      </c>
      <c r="E14">
        <v>0</v>
      </c>
      <c r="F14">
        <v>0</v>
      </c>
      <c r="G14">
        <f ca="1"/>
        <v>0</v>
      </c>
      <c r="H14">
        <v>0</v>
      </c>
      <c r="I14">
        <f ca="1"/>
        <v>0</v>
      </c>
      <c r="J14">
        <v>0</v>
      </c>
      <c r="K14">
        <f ca="1"/>
        <v>0</v>
      </c>
      <c r="L14">
        <v>0</v>
      </c>
      <c r="M14">
        <f ca="1"/>
        <v>0</v>
      </c>
      <c r="N14">
        <v>671</v>
      </c>
      <c r="O14">
        <v>999.79</v>
      </c>
      <c r="P14">
        <v>0</v>
      </c>
      <c r="Q14">
        <f ca="1"/>
        <v>0</v>
      </c>
      <c r="R14" s="40">
        <v>671</v>
      </c>
      <c r="S14">
        <f ca="1"/>
        <v>671</v>
      </c>
      <c r="T14" s="13">
        <f t="shared" si="0"/>
        <v>590.48</v>
      </c>
      <c r="U14">
        <f ca="1"/>
        <v>999.79</v>
      </c>
      <c r="V14">
        <f ca="1"/>
        <v>1.49</v>
      </c>
      <c r="W14">
        <f ca="1"/>
        <v>10</v>
      </c>
      <c r="X14" s="70">
        <v>0.88</v>
      </c>
      <c r="Y14" t="s">
        <v>89</v>
      </c>
      <c r="Z14" s="13">
        <v>1.49</v>
      </c>
      <c r="AA14" s="70"/>
      <c r="AB14">
        <v>13</v>
      </c>
      <c r="AC14" t="str">
        <v>BUB</v>
      </c>
      <c r="AD14" s="1">
        <v>44201</v>
      </c>
      <c r="AE14" s="40">
        <f ca="1"/>
        <v>5042</v>
      </c>
      <c r="AF14" s="13">
        <f ca="1"/>
        <v>0.59499999999999997</v>
      </c>
      <c r="AG14" s="13">
        <f ca="1"/>
        <v>2999.99</v>
      </c>
      <c r="AH14" s="13">
        <f ca="1"/>
        <v>19.95</v>
      </c>
      <c r="AI14">
        <f ca="1"/>
        <v>23927</v>
      </c>
      <c r="AJ14" s="40">
        <f ca="1"/>
        <v>9348</v>
      </c>
      <c r="AK14">
        <f ca="1"/>
        <v>5042</v>
      </c>
      <c r="AL14">
        <f ca="1"/>
        <v>2999.99</v>
      </c>
      <c r="AM14">
        <f ca="1"/>
        <v>19.95</v>
      </c>
      <c r="AN14" t="str">
        <f ca="1"/>
        <v>Long Term</v>
      </c>
      <c r="AP14" t="str">
        <f ca="1"/>
        <v>PORTO</v>
      </c>
      <c r="AQ14" s="40">
        <f ca="1"/>
        <v>2.5499999999999998</v>
      </c>
      <c r="AR14" s="13">
        <f ca="1"/>
        <v>0.255</v>
      </c>
      <c r="AS14" s="13">
        <f ca="1"/>
        <v>23.39676</v>
      </c>
      <c r="AT14" s="13">
        <f ca="1"/>
        <v>23.09496648</v>
      </c>
      <c r="BI14" t="str">
        <f ca="1"/>
        <v>NDQ</v>
      </c>
      <c r="BJ14" s="13">
        <f ca="1"/>
        <v>81.12517000000021</v>
      </c>
      <c r="BL14" t="str">
        <f ca="1"/>
        <v>NDQ</v>
      </c>
      <c r="BM14" s="13">
        <f ca="1"/>
        <v>1966.80484</v>
      </c>
      <c r="BN14" s="13">
        <f ca="1"/>
        <v>2055.9800100000002</v>
      </c>
      <c r="BY14" s="13" t="str" cm="1">
        <f t="array" aca="1" ref="BY14" ca="1">IFERROR(INDEX(A:A, SMALL(IF(M:M&lt;0, ROW(M:M)), ROWS(A$1:A12))), "")</f>
        <v>XRP</v>
      </c>
      <c r="BZ14" s="13" cm="1">
        <f t="array" aca="1" ref="BZ14" ca="1">IFERROR(VLOOKUP(_xlfn.ANCHORARRAY(BY14), A:M,13, FALSE),"")</f>
        <v>-3358.5136614684338</v>
      </c>
      <c r="CA14" s="13" cm="1">
        <f t="array" aca="1" ref="CA14" ca="1">IFERROR(VLOOKUP(_xlfn.ANCHORARRAY(BY14), A:Z,26, FALSE),"")</f>
        <v>1.412608780935483</v>
      </c>
      <c r="CB14" s="40" cm="1">
        <f t="array" aca="1" ref="CB14" ca="1">IFERROR(VLOOKUP(_xlfn.ANCHORARRAY(BY14), A:M,10, FALSE),"")</f>
        <v>26733.960000000003</v>
      </c>
      <c r="CC14" s="214" cm="1">
        <f t="array" aca="1" ref="CC14" ca="1">IFERROR(VLOOKUP(_xlfn.ANCHORARRAY(BY14), A:X,24, FALSE),"")</f>
        <v>0.56999999999999995</v>
      </c>
      <c r="CD14" s="40"/>
      <c r="CE14" s="40"/>
      <c r="CG14" t="str">
        <v>DUG</v>
      </c>
      <c r="CH14" t="s">
        <v>146</v>
      </c>
    </row>
    <row r="15" spans="1:88" x14ac:dyDescent="0.25">
      <c r="A15" t="str">
        <v>FFF</v>
      </c>
      <c r="B15" s="40">
        <v>0</v>
      </c>
      <c r="C15" s="13">
        <v>0</v>
      </c>
      <c r="D15">
        <v>0</v>
      </c>
      <c r="E15">
        <v>0</v>
      </c>
      <c r="F15">
        <v>12334</v>
      </c>
      <c r="G15">
        <f ca="1"/>
        <v>3999.6049999999996</v>
      </c>
      <c r="H15">
        <v>1788.4299999999998</v>
      </c>
      <c r="I15">
        <f ca="1"/>
        <v>-2271.0249999999996</v>
      </c>
      <c r="J15">
        <v>12334</v>
      </c>
      <c r="K15">
        <f ca="1"/>
        <v>3999.6049999999996</v>
      </c>
      <c r="L15">
        <v>1788.4299999999998</v>
      </c>
      <c r="M15">
        <f ca="1"/>
        <v>-2271.0249999999996</v>
      </c>
      <c r="N15">
        <v>12334</v>
      </c>
      <c r="O15">
        <v>3999.6049999999996</v>
      </c>
      <c r="P15">
        <v>0</v>
      </c>
      <c r="Q15">
        <f ca="1"/>
        <v>59.849999999999994</v>
      </c>
      <c r="R15" s="40">
        <v>0</v>
      </c>
      <c r="S15">
        <f ca="1"/>
        <v>0</v>
      </c>
      <c r="T15" s="13">
        <f t="shared" si="0"/>
        <v>0</v>
      </c>
      <c r="U15">
        <f ca="1"/>
        <v>0</v>
      </c>
      <c r="V15">
        <f ca="1"/>
        <v>0</v>
      </c>
      <c r="W15">
        <f ca="1"/>
        <v>0</v>
      </c>
      <c r="X15" s="70">
        <v>2.3E-2</v>
      </c>
      <c r="Y15" t="s">
        <v>93</v>
      </c>
      <c r="Z15" s="13">
        <v>0.26666666666666666</v>
      </c>
      <c r="AA15" s="70"/>
      <c r="AB15">
        <v>14</v>
      </c>
      <c r="AC15" t="str">
        <v>BUB</v>
      </c>
      <c r="AD15" s="1">
        <v>44242</v>
      </c>
      <c r="AE15" s="40">
        <f ca="1"/>
        <v>3429</v>
      </c>
      <c r="AF15" s="13">
        <f ca="1"/>
        <v>0.60499999999999998</v>
      </c>
      <c r="AG15" s="13">
        <f ca="1"/>
        <v>2074.5450000000001</v>
      </c>
      <c r="AH15" s="13">
        <f ca="1"/>
        <v>5.01</v>
      </c>
      <c r="AI15">
        <f ca="1"/>
        <v>28969</v>
      </c>
      <c r="AJ15" s="40">
        <f ca="1"/>
        <v>9348</v>
      </c>
      <c r="AK15">
        <f ca="1"/>
        <v>3429</v>
      </c>
      <c r="AL15">
        <f ca="1"/>
        <v>2074.5450000000001</v>
      </c>
      <c r="AM15">
        <f ca="1"/>
        <v>5.01</v>
      </c>
      <c r="AN15" t="str">
        <f ca="1"/>
        <v>Long Term</v>
      </c>
      <c r="AP15" t="str">
        <f ca="1"/>
        <v>4DX</v>
      </c>
      <c r="AQ15" s="40">
        <f ca="1"/>
        <v>769</v>
      </c>
      <c r="AR15" s="13">
        <f ca="1"/>
        <v>999.7</v>
      </c>
      <c r="AS15" s="13">
        <f ca="1"/>
        <v>1049.6849999999999</v>
      </c>
      <c r="AT15" s="13">
        <f ca="1"/>
        <v>20.034999999999901</v>
      </c>
      <c r="BI15" t="str">
        <f ca="1"/>
        <v>PORTO</v>
      </c>
      <c r="BJ15" s="13">
        <f ca="1"/>
        <v>23.09496648</v>
      </c>
      <c r="BL15" t="str">
        <f ca="1"/>
        <v>PORTO</v>
      </c>
      <c r="BM15" s="13">
        <f ca="1"/>
        <v>0.255</v>
      </c>
      <c r="BN15" s="13">
        <f ca="1"/>
        <v>23.39676</v>
      </c>
      <c r="BY15" s="13" t="str" cm="1">
        <f t="array" aca="1" ref="BY15" ca="1">IFERROR(INDEX(A:A, SMALL(IF(M:M&lt;0, ROW(M:M)), ROWS(A$1:A13))), "")</f>
        <v/>
      </c>
      <c r="BZ15" s="13" t="str" cm="1">
        <f t="array" aca="1" ref="BZ15" ca="1">IFERROR(VLOOKUP(_xlfn.ANCHORARRAY(BY15), A:M,13, FALSE),"")</f>
        <v/>
      </c>
      <c r="CA15" s="13" t="str" cm="1">
        <f t="array" aca="1" ref="CA15" ca="1">IFERROR(VLOOKUP(_xlfn.ANCHORARRAY(BY15), A:Z,26, FALSE),"")</f>
        <v/>
      </c>
      <c r="CE15" s="40"/>
      <c r="CG15" t="str">
        <v>FFF</v>
      </c>
      <c r="CH15" t="s">
        <v>146</v>
      </c>
    </row>
    <row r="16" spans="1:88" x14ac:dyDescent="0.25">
      <c r="A16" t="str">
        <v>GMT</v>
      </c>
      <c r="B16" s="40">
        <v>546.6</v>
      </c>
      <c r="C16" s="13">
        <v>7.6999542000000005</v>
      </c>
      <c r="D16">
        <v>92.922000000000011</v>
      </c>
      <c r="E16">
        <v>85.132045800000014</v>
      </c>
      <c r="F16">
        <v>0</v>
      </c>
      <c r="G16">
        <f ca="1"/>
        <v>0</v>
      </c>
      <c r="H16">
        <v>0</v>
      </c>
      <c r="I16">
        <f ca="1"/>
        <v>0</v>
      </c>
      <c r="J16">
        <v>546.6</v>
      </c>
      <c r="K16">
        <f ca="1"/>
        <v>7.6999542000000005</v>
      </c>
      <c r="L16">
        <v>92.922000000000011</v>
      </c>
      <c r="M16">
        <f ca="1"/>
        <v>85.132045800000014</v>
      </c>
      <c r="N16">
        <v>0</v>
      </c>
      <c r="O16">
        <v>0</v>
      </c>
      <c r="P16">
        <v>0.09</v>
      </c>
      <c r="Q16">
        <f ca="1"/>
        <v>0</v>
      </c>
      <c r="R16" s="40">
        <v>0</v>
      </c>
      <c r="S16">
        <f ca="1"/>
        <v>0</v>
      </c>
      <c r="T16" s="13">
        <f t="shared" si="0"/>
        <v>0</v>
      </c>
      <c r="U16">
        <f ca="1"/>
        <v>0</v>
      </c>
      <c r="V16">
        <f ca="1"/>
        <v>0</v>
      </c>
      <c r="W16">
        <f ca="1"/>
        <v>0</v>
      </c>
      <c r="X16" s="70">
        <v>0.65759999999999996</v>
      </c>
      <c r="Y16" t="s">
        <v>94</v>
      </c>
      <c r="Z16" s="13">
        <v>9.20435E-2</v>
      </c>
      <c r="AA16" s="70"/>
      <c r="AB16">
        <v>15</v>
      </c>
      <c r="AC16" t="str">
        <v>BUB</v>
      </c>
      <c r="AD16" s="1">
        <v>44284</v>
      </c>
      <c r="AE16" s="40">
        <f ca="1"/>
        <v>6000</v>
      </c>
      <c r="AF16" s="13">
        <f ca="1"/>
        <v>0.51</v>
      </c>
      <c r="AG16" s="13">
        <f ca="1"/>
        <v>3060</v>
      </c>
      <c r="AH16" s="13">
        <f ca="1"/>
        <v>19.95</v>
      </c>
      <c r="AI16">
        <f ca="1"/>
        <v>32398</v>
      </c>
      <c r="AJ16" s="40">
        <f ca="1"/>
        <v>9348</v>
      </c>
      <c r="AK16">
        <f ca="1"/>
        <v>6000</v>
      </c>
      <c r="AL16">
        <f ca="1"/>
        <v>3060</v>
      </c>
      <c r="AM16">
        <f ca="1"/>
        <v>19.95</v>
      </c>
      <c r="AN16" t="str">
        <f ca="1"/>
        <v>Long Term</v>
      </c>
      <c r="AP16" t="str">
        <f ca="1"/>
        <v>UMA</v>
      </c>
      <c r="AQ16" s="40">
        <f ca="1"/>
        <v>2.4000000000000004</v>
      </c>
      <c r="AR16" s="13">
        <f ca="1"/>
        <v>42.494399999999999</v>
      </c>
      <c r="AS16" s="13">
        <f ca="1"/>
        <v>43.852800000000002</v>
      </c>
      <c r="AT16" s="13">
        <f ca="1"/>
        <v>1.3140200000000031</v>
      </c>
      <c r="BI16" t="str">
        <f ca="1"/>
        <v>4DX</v>
      </c>
      <c r="BJ16" s="13">
        <f ca="1"/>
        <v>20.034999999999901</v>
      </c>
      <c r="BL16" t="str">
        <f ca="1"/>
        <v>4DX</v>
      </c>
      <c r="BM16" s="13">
        <f ca="1"/>
        <v>999.7</v>
      </c>
      <c r="BN16" s="13">
        <f ca="1"/>
        <v>1049.6849999999999</v>
      </c>
      <c r="BY16" s="13" t="str" cm="1">
        <f t="array" aca="1" ref="BY16" ca="1">IFERROR(INDEX(A:A, SMALL(IF(M:M&lt;0, ROW(M:M)), ROWS(A$1:A14))), "")</f>
        <v/>
      </c>
      <c r="BZ16" s="13" t="str" cm="1">
        <f t="array" aca="1" ref="BZ16" ca="1">IFERROR(VLOOKUP(_xlfn.ANCHORARRAY(BY16), A:M,13, FALSE),"")</f>
        <v/>
      </c>
      <c r="CA16" s="13" t="str" cm="1">
        <f t="array" aca="1" ref="CA16" ca="1">IFERROR(VLOOKUP(_xlfn.ANCHORARRAY(BY16), A:Z,26, FALSE),"")</f>
        <v/>
      </c>
      <c r="CE16" s="40"/>
      <c r="CG16" t="str">
        <v>GMT</v>
      </c>
      <c r="CH16" t="s">
        <v>146</v>
      </c>
    </row>
    <row r="17" spans="1:86" x14ac:dyDescent="0.25">
      <c r="A17" t="str">
        <v>ICG</v>
      </c>
      <c r="B17" s="40">
        <v>0</v>
      </c>
      <c r="C17" s="13">
        <v>0</v>
      </c>
      <c r="D17">
        <v>0</v>
      </c>
      <c r="E17">
        <v>0</v>
      </c>
      <c r="F17">
        <v>1000000</v>
      </c>
      <c r="G17">
        <f ca="1"/>
        <v>1000</v>
      </c>
      <c r="H17">
        <v>2000</v>
      </c>
      <c r="I17">
        <f ca="1"/>
        <v>970.05</v>
      </c>
      <c r="J17">
        <v>1000000</v>
      </c>
      <c r="K17">
        <f ca="1"/>
        <v>1000</v>
      </c>
      <c r="L17">
        <v>2000</v>
      </c>
      <c r="M17">
        <f ca="1"/>
        <v>970.05</v>
      </c>
      <c r="N17">
        <v>1000000</v>
      </c>
      <c r="O17">
        <v>1000</v>
      </c>
      <c r="P17">
        <v>0</v>
      </c>
      <c r="Q17">
        <f ca="1"/>
        <v>29.95</v>
      </c>
      <c r="R17" s="40">
        <v>0</v>
      </c>
      <c r="S17">
        <f ca="1"/>
        <v>0</v>
      </c>
      <c r="T17" s="13">
        <f t="shared" si="0"/>
        <v>0</v>
      </c>
      <c r="U17">
        <f ca="1"/>
        <v>0</v>
      </c>
      <c r="V17">
        <f ca="1"/>
        <v>0</v>
      </c>
      <c r="W17">
        <f ca="1"/>
        <v>0</v>
      </c>
      <c r="X17" s="70">
        <v>2.1999999999999999E-2</v>
      </c>
      <c r="Y17" t="s">
        <v>92</v>
      </c>
      <c r="Z17" s="13">
        <v>1.5E-3</v>
      </c>
      <c r="AA17" s="70"/>
      <c r="AB17">
        <v>16</v>
      </c>
      <c r="AC17" t="str">
        <v>BUB</v>
      </c>
      <c r="AD17" s="1">
        <v>44308</v>
      </c>
      <c r="AE17" s="40">
        <f ca="1"/>
        <v>2150</v>
      </c>
      <c r="AF17" s="13">
        <f ca="1"/>
        <v>0.46500000000000002</v>
      </c>
      <c r="AG17" s="13">
        <f ca="1"/>
        <v>999.75</v>
      </c>
      <c r="AH17" s="13">
        <f ca="1"/>
        <v>10</v>
      </c>
      <c r="AI17">
        <f ca="1"/>
        <v>38398</v>
      </c>
      <c r="AJ17" s="40">
        <f ca="1"/>
        <v>9348</v>
      </c>
      <c r="AK17">
        <f ca="1"/>
        <v>2150</v>
      </c>
      <c r="AL17">
        <f ca="1"/>
        <v>999.75</v>
      </c>
      <c r="AM17">
        <f ca="1"/>
        <v>10</v>
      </c>
      <c r="AN17" t="str">
        <f ca="1"/>
        <v>Long Term</v>
      </c>
      <c r="AP17" t="str">
        <f ca="1"/>
        <v>STX</v>
      </c>
      <c r="AQ17" s="40">
        <f ca="1"/>
        <v>16.135899999999999</v>
      </c>
      <c r="AR17" s="13">
        <f ca="1"/>
        <v>21.207299200000001</v>
      </c>
      <c r="AS17" s="13">
        <f ca="1"/>
        <v>21.702785499999997</v>
      </c>
      <c r="AT17" s="13">
        <f ca="1"/>
        <v>0.46868629999999606</v>
      </c>
      <c r="BI17" t="str">
        <f ca="1"/>
        <v>UMA</v>
      </c>
      <c r="BJ17" s="13">
        <f ca="1"/>
        <v>1.3140200000000031</v>
      </c>
      <c r="BL17" t="str">
        <f ca="1"/>
        <v>UMA</v>
      </c>
      <c r="BM17" s="13">
        <f ca="1"/>
        <v>42.494399999999999</v>
      </c>
      <c r="BN17" s="13">
        <f ca="1"/>
        <v>43.852800000000002</v>
      </c>
      <c r="BY17" s="13" t="str" cm="1">
        <f t="array" aca="1" ref="BY17" ca="1">IFERROR(INDEX(A:A, SMALL(IF(M:M&lt;0, ROW(M:M)), ROWS(A$1:A15))), "")</f>
        <v/>
      </c>
      <c r="BZ17" s="13" t="str" cm="1">
        <f t="array" aca="1" ref="BZ17" ca="1">IFERROR(VLOOKUP(_xlfn.ANCHORARRAY(BY17), A:M,13, FALSE),"")</f>
        <v/>
      </c>
      <c r="CA17" s="13" t="str" cm="1">
        <f t="array" aca="1" ref="CA17" ca="1">IFERROR(VLOOKUP(_xlfn.ANCHORARRAY(BY17), A:Z,26, FALSE),"")</f>
        <v/>
      </c>
      <c r="CG17" t="str">
        <v>ICG</v>
      </c>
      <c r="CH17" t="s">
        <v>146</v>
      </c>
    </row>
    <row r="18" spans="1:86" x14ac:dyDescent="0.25">
      <c r="A18" t="str">
        <v>LAZIO</v>
      </c>
      <c r="B18" s="40">
        <v>27.61</v>
      </c>
      <c r="C18" s="13">
        <v>14.081099999999999</v>
      </c>
      <c r="D18">
        <v>119.8726214787</v>
      </c>
      <c r="E18">
        <v>105.76832103446299</v>
      </c>
      <c r="F18">
        <v>0</v>
      </c>
      <c r="G18">
        <f ca="1"/>
        <v>0</v>
      </c>
      <c r="H18">
        <v>0</v>
      </c>
      <c r="I18">
        <f ca="1"/>
        <v>0</v>
      </c>
      <c r="J18">
        <v>27.61</v>
      </c>
      <c r="K18">
        <f ca="1"/>
        <v>14.081099999999999</v>
      </c>
      <c r="L18">
        <v>119.8726214787</v>
      </c>
      <c r="M18">
        <f ca="1"/>
        <v>105.76832103446299</v>
      </c>
      <c r="N18">
        <v>0</v>
      </c>
      <c r="O18">
        <v>0</v>
      </c>
      <c r="P18">
        <v>2.3200444237E-2</v>
      </c>
      <c r="Q18">
        <f ca="1"/>
        <v>0</v>
      </c>
      <c r="R18" s="40">
        <v>0</v>
      </c>
      <c r="S18">
        <f ca="1"/>
        <v>0</v>
      </c>
      <c r="T18" s="13">
        <f t="shared" si="0"/>
        <v>0</v>
      </c>
      <c r="U18">
        <f ca="1"/>
        <v>0</v>
      </c>
      <c r="V18">
        <f ca="1"/>
        <v>0</v>
      </c>
      <c r="W18">
        <f ca="1"/>
        <v>0</v>
      </c>
      <c r="X18" s="70">
        <v>4.9470000000000001</v>
      </c>
      <c r="Y18" t="s">
        <v>94</v>
      </c>
      <c r="Z18" s="13">
        <v>12.188704541</v>
      </c>
      <c r="AA18" s="70"/>
      <c r="AB18">
        <v>17</v>
      </c>
      <c r="AC18" t="str">
        <v>BUB</v>
      </c>
      <c r="AD18" s="1">
        <v>44327</v>
      </c>
      <c r="AE18" s="40">
        <f ca="1"/>
        <v>2898</v>
      </c>
      <c r="AF18" s="13">
        <f ca="1"/>
        <v>0.33</v>
      </c>
      <c r="AG18" s="13">
        <f ca="1"/>
        <v>956.34</v>
      </c>
      <c r="AH18" s="13">
        <f ca="1"/>
        <v>10</v>
      </c>
      <c r="AI18">
        <f ca="1"/>
        <v>40548</v>
      </c>
      <c r="AJ18" s="40">
        <f ca="1"/>
        <v>9348</v>
      </c>
      <c r="AK18">
        <f ca="1"/>
        <v>2898</v>
      </c>
      <c r="AL18">
        <f ca="1"/>
        <v>956.34</v>
      </c>
      <c r="AM18">
        <f ca="1"/>
        <v>10</v>
      </c>
      <c r="AN18" t="str">
        <f ca="1"/>
        <v>Long Term</v>
      </c>
      <c r="AP18" t="str">
        <f ca="1"/>
        <v>SYI</v>
      </c>
      <c r="AQ18" s="40">
        <f ca="1"/>
        <v>34</v>
      </c>
      <c r="AR18" s="13">
        <f ca="1"/>
        <v>975.46</v>
      </c>
      <c r="AS18" s="13">
        <f ca="1"/>
        <v>990.76</v>
      </c>
      <c r="AT18" s="13">
        <f ca="1"/>
        <v>-4.7000000000000455</v>
      </c>
      <c r="BI18" t="str">
        <f ca="1"/>
        <v>STX</v>
      </c>
      <c r="BJ18" s="13">
        <f ca="1"/>
        <v>0.46868629999999606</v>
      </c>
      <c r="BL18" t="str">
        <f ca="1"/>
        <v>STX</v>
      </c>
      <c r="BM18" s="13">
        <f ca="1"/>
        <v>21.207299200000001</v>
      </c>
      <c r="BN18" s="13">
        <f ca="1"/>
        <v>21.702785499999997</v>
      </c>
      <c r="BY18" s="13" t="str" cm="1">
        <f t="array" aca="1" ref="BY18" ca="1">IFERROR(INDEX(A:A, SMALL(IF(M:M&lt;0, ROW(M:M)), ROWS(A$1:A16))), "")</f>
        <v/>
      </c>
      <c r="BZ18" s="13" t="str" cm="1">
        <f t="array" aca="1" ref="BZ18" ca="1">IFERROR(VLOOKUP(_xlfn.ANCHORARRAY(BY18), A:M,13, FALSE),"")</f>
        <v/>
      </c>
      <c r="CA18" s="13" t="str" cm="1">
        <f t="array" aca="1" ref="CA18" ca="1">IFERROR(VLOOKUP(_xlfn.ANCHORARRAY(BY18), A:Z,26, FALSE),"")</f>
        <v/>
      </c>
      <c r="CG18" t="str">
        <v>LAZIO</v>
      </c>
      <c r="CH18" t="s">
        <v>145</v>
      </c>
    </row>
    <row r="19" spans="1:86" x14ac:dyDescent="0.25">
      <c r="A19" t="str">
        <v>MANA</v>
      </c>
      <c r="B19" s="40">
        <v>290</v>
      </c>
      <c r="C19" s="13">
        <v>1534.0278074129999</v>
      </c>
      <c r="D19">
        <v>437.61570170399995</v>
      </c>
      <c r="E19">
        <v>-1097.2427075328167</v>
      </c>
      <c r="F19">
        <v>-201</v>
      </c>
      <c r="G19">
        <f ca="1"/>
        <v>0</v>
      </c>
      <c r="H19">
        <v>0</v>
      </c>
      <c r="I19">
        <f ca="1"/>
        <v>0</v>
      </c>
      <c r="J19">
        <v>89</v>
      </c>
      <c r="K19">
        <f ca="1"/>
        <v>1534.0278074129999</v>
      </c>
      <c r="L19">
        <v>437.61570170399995</v>
      </c>
      <c r="M19">
        <f ca="1"/>
        <v>-1097.2427075328167</v>
      </c>
      <c r="N19">
        <v>0</v>
      </c>
      <c r="O19">
        <v>0</v>
      </c>
      <c r="P19">
        <v>0.83060182381680003</v>
      </c>
      <c r="Q19">
        <f ca="1"/>
        <v>0</v>
      </c>
      <c r="R19" s="40">
        <v>201</v>
      </c>
      <c r="S19">
        <f ca="1"/>
        <v>0</v>
      </c>
      <c r="T19" s="13">
        <f t="shared" si="0"/>
        <v>215.07000000000002</v>
      </c>
      <c r="U19">
        <f ca="1"/>
        <v>0</v>
      </c>
      <c r="V19">
        <f ca="1"/>
        <v>0</v>
      </c>
      <c r="W19">
        <f ca="1"/>
        <v>0</v>
      </c>
      <c r="X19" s="70">
        <v>1.07</v>
      </c>
      <c r="Y19" t="s">
        <v>91</v>
      </c>
      <c r="Z19" s="13">
        <v>5.2651917275714286</v>
      </c>
      <c r="AA19" s="70"/>
      <c r="AB19">
        <v>18</v>
      </c>
      <c r="AC19" t="str">
        <v>BUB</v>
      </c>
      <c r="AD19" s="1">
        <v>44523</v>
      </c>
      <c r="AE19" s="40">
        <f ca="1"/>
        <v>3703</v>
      </c>
      <c r="AF19" s="13">
        <f ca="1"/>
        <v>0.54</v>
      </c>
      <c r="AG19" s="13">
        <f ca="1"/>
        <v>1999.6200000000001</v>
      </c>
      <c r="AH19" s="13">
        <f ca="1"/>
        <v>19.95</v>
      </c>
      <c r="AI19">
        <f ca="1"/>
        <v>43446</v>
      </c>
      <c r="AJ19" s="40">
        <f ca="1"/>
        <v>9348</v>
      </c>
      <c r="AK19">
        <f ca="1"/>
        <v>3703</v>
      </c>
      <c r="AL19">
        <f ca="1"/>
        <v>1999.6200000000001</v>
      </c>
      <c r="AM19">
        <f ca="1"/>
        <v>19.95</v>
      </c>
      <c r="AN19" t="str">
        <f ca="1"/>
        <v>Long Term</v>
      </c>
      <c r="AP19" t="str">
        <f ca="1"/>
        <v>DOGE</v>
      </c>
      <c r="AQ19" s="40">
        <f ca="1"/>
        <v>5388.3</v>
      </c>
      <c r="AR19" s="13">
        <f ca="1"/>
        <v>1706.9970853726311</v>
      </c>
      <c r="AS19" s="13">
        <f ca="1"/>
        <v>1660.8535650052202</v>
      </c>
      <c r="AT19" s="13">
        <f ca="1"/>
        <v>-51.18604244241093</v>
      </c>
      <c r="BI19" t="str">
        <f ca="1"/>
        <v>SYI</v>
      </c>
      <c r="BJ19" s="13">
        <f ca="1"/>
        <v>-4.7000000000000455</v>
      </c>
      <c r="BL19" t="str">
        <f ca="1"/>
        <v>SYI</v>
      </c>
      <c r="BM19" s="13">
        <f ca="1"/>
        <v>975.46</v>
      </c>
      <c r="BN19" s="13">
        <f ca="1"/>
        <v>990.76</v>
      </c>
      <c r="BY19" s="13" t="str" cm="1">
        <f t="array" aca="1" ref="BY19" ca="1">IFERROR(INDEX(A:A, SMALL(IF(M:M&lt;0, ROW(M:M)), ROWS(A$1:A17))), "")</f>
        <v/>
      </c>
      <c r="CA19" s="13" t="str" cm="1">
        <f t="array" aca="1" ref="CA19" ca="1">IFERROR(VLOOKUP(_xlfn.ANCHORARRAY(BY19), A:Z,26, FALSE),"")</f>
        <v/>
      </c>
      <c r="CG19" t="str">
        <v>MANA</v>
      </c>
      <c r="CH19" t="s">
        <v>145</v>
      </c>
    </row>
    <row r="20" spans="1:86" x14ac:dyDescent="0.25">
      <c r="A20" t="str">
        <v>MKR</v>
      </c>
      <c r="B20" s="40">
        <v>0</v>
      </c>
      <c r="C20" s="13">
        <v>0</v>
      </c>
      <c r="D20">
        <v>0</v>
      </c>
      <c r="E20">
        <v>0</v>
      </c>
      <c r="F20">
        <v>4000</v>
      </c>
      <c r="G20">
        <f ca="1"/>
        <v>1000</v>
      </c>
      <c r="H20">
        <v>1874.8999999999999</v>
      </c>
      <c r="I20">
        <f ca="1"/>
        <v>844.89999999999986</v>
      </c>
      <c r="J20">
        <v>4000</v>
      </c>
      <c r="K20">
        <f ca="1"/>
        <v>1000</v>
      </c>
      <c r="L20">
        <v>1874.8999999999999</v>
      </c>
      <c r="M20">
        <f ca="1"/>
        <v>844.89999999999986</v>
      </c>
      <c r="N20">
        <v>4000</v>
      </c>
      <c r="O20">
        <v>1000</v>
      </c>
      <c r="P20">
        <v>0</v>
      </c>
      <c r="Q20">
        <f ca="1"/>
        <v>30</v>
      </c>
      <c r="R20" s="40">
        <v>0</v>
      </c>
      <c r="S20">
        <f ca="1"/>
        <v>0</v>
      </c>
      <c r="T20" s="13">
        <f t="shared" si="0"/>
        <v>0</v>
      </c>
      <c r="U20">
        <f ca="1"/>
        <v>0</v>
      </c>
      <c r="V20">
        <f ca="1"/>
        <v>0</v>
      </c>
      <c r="W20">
        <f ca="1"/>
        <v>0</v>
      </c>
      <c r="X20" s="70">
        <v>0.08</v>
      </c>
      <c r="Y20" t="s">
        <v>92</v>
      </c>
      <c r="Z20" s="13">
        <v>0.40666666666666668</v>
      </c>
      <c r="AA20" s="70"/>
      <c r="AB20">
        <v>19</v>
      </c>
      <c r="AC20" t="str">
        <v>BUD</v>
      </c>
      <c r="AD20" s="1">
        <v>43641</v>
      </c>
      <c r="AE20" s="40">
        <f ca="1"/>
        <v>10888</v>
      </c>
      <c r="AF20" s="13">
        <f ca="1"/>
        <v>4.4999999999999998E-2</v>
      </c>
      <c r="AG20" s="13">
        <f ca="1"/>
        <v>489.96</v>
      </c>
      <c r="AH20" s="13">
        <f ca="1"/>
        <v>10</v>
      </c>
      <c r="AI20">
        <f ca="1"/>
        <v>0</v>
      </c>
      <c r="AJ20" s="40">
        <f ca="1"/>
        <v>200659</v>
      </c>
      <c r="AK20">
        <f ca="1"/>
        <v>0</v>
      </c>
      <c r="AL20">
        <f ca="1"/>
        <v>0</v>
      </c>
      <c r="AM20">
        <f ca="1"/>
        <v>0</v>
      </c>
      <c r="AN20" t="str">
        <f ca="1"/>
        <v>Short Term</v>
      </c>
      <c r="AP20" t="str">
        <f ca="1"/>
        <v>CBA</v>
      </c>
      <c r="AQ20" s="40">
        <f ca="1"/>
        <v>26</v>
      </c>
      <c r="AR20" s="13">
        <f ca="1"/>
        <v>1970.8</v>
      </c>
      <c r="AS20" s="13">
        <f ca="1"/>
        <v>1950</v>
      </c>
      <c r="AT20" s="13">
        <f ca="1"/>
        <v>-60.699999999999953</v>
      </c>
      <c r="BI20" t="str">
        <f ca="1"/>
        <v>DOGE</v>
      </c>
      <c r="BJ20" s="13">
        <f ca="1"/>
        <v>-51.18604244241093</v>
      </c>
      <c r="BL20" t="str">
        <f ca="1"/>
        <v>DOGE</v>
      </c>
      <c r="BM20" s="13">
        <f ca="1"/>
        <v>1706.9970853726311</v>
      </c>
      <c r="BN20" s="13">
        <f ca="1"/>
        <v>1660.8535650052202</v>
      </c>
      <c r="BY20" s="13" t="str" cm="1">
        <f t="array" aca="1" ref="BY20" ca="1">IFERROR(INDEX(A:A, SMALL(IF(M:M&lt;0, ROW(M:M)), ROWS(A$1:A18))), "")</f>
        <v/>
      </c>
      <c r="CG20" t="str">
        <v>MKR</v>
      </c>
      <c r="CH20" t="s">
        <v>146</v>
      </c>
    </row>
    <row r="21" spans="1:86" x14ac:dyDescent="0.25">
      <c r="A21" t="str">
        <v>NDQ</v>
      </c>
      <c r="B21" s="40">
        <v>0</v>
      </c>
      <c r="C21" s="13">
        <v>0</v>
      </c>
      <c r="D21">
        <v>0</v>
      </c>
      <c r="E21">
        <v>0</v>
      </c>
      <c r="F21">
        <v>70</v>
      </c>
      <c r="G21">
        <f ca="1"/>
        <v>1966.80484</v>
      </c>
      <c r="H21">
        <v>2055.9800100000002</v>
      </c>
      <c r="I21">
        <f ca="1"/>
        <v>81.12517000000021</v>
      </c>
      <c r="J21">
        <v>70</v>
      </c>
      <c r="K21">
        <f ca="1"/>
        <v>1966.80484</v>
      </c>
      <c r="L21">
        <v>2055.9800100000002</v>
      </c>
      <c r="M21">
        <f ca="1"/>
        <v>81.12517000000021</v>
      </c>
      <c r="N21">
        <v>70</v>
      </c>
      <c r="O21">
        <v>1966.80484</v>
      </c>
      <c r="P21">
        <v>0</v>
      </c>
      <c r="Q21">
        <f ca="1"/>
        <v>8.0500000000000007</v>
      </c>
      <c r="R21" s="40">
        <v>0</v>
      </c>
      <c r="S21">
        <f ca="1"/>
        <v>0</v>
      </c>
      <c r="T21" s="13">
        <f t="shared" si="0"/>
        <v>0</v>
      </c>
      <c r="U21">
        <f ca="1"/>
        <v>0</v>
      </c>
      <c r="V21">
        <f ca="1"/>
        <v>0</v>
      </c>
      <c r="W21">
        <f ca="1"/>
        <v>0</v>
      </c>
      <c r="X21" s="70">
        <v>27.64</v>
      </c>
      <c r="Y21" t="s">
        <v>92</v>
      </c>
      <c r="Z21" s="13">
        <v>28.734177500000001</v>
      </c>
      <c r="AA21" s="70"/>
      <c r="AB21">
        <v>20</v>
      </c>
      <c r="AC21" t="str">
        <v>BUD</v>
      </c>
      <c r="AD21" s="1">
        <v>43710</v>
      </c>
      <c r="AE21" s="40">
        <f ca="1"/>
        <v>35357</v>
      </c>
      <c r="AF21" s="13">
        <f ca="1"/>
        <v>2.8000000000000001E-2</v>
      </c>
      <c r="AG21" s="13">
        <f ca="1"/>
        <v>989.99599999999998</v>
      </c>
      <c r="AH21" s="13">
        <f ca="1"/>
        <v>10</v>
      </c>
      <c r="AI21">
        <f ca="1"/>
        <v>10888</v>
      </c>
      <c r="AJ21" s="40">
        <f ca="1"/>
        <v>200659</v>
      </c>
      <c r="AK21">
        <f ca="1"/>
        <v>0</v>
      </c>
      <c r="AL21">
        <f ca="1"/>
        <v>0</v>
      </c>
      <c r="AM21">
        <f ca="1"/>
        <v>0</v>
      </c>
      <c r="AN21" t="str">
        <f ca="1"/>
        <v>Short Term</v>
      </c>
      <c r="AP21" t="str">
        <f ca="1"/>
        <v>ANW</v>
      </c>
      <c r="AQ21" s="40">
        <f ca="1"/>
        <v>10000000</v>
      </c>
      <c r="AR21" s="13">
        <f ca="1"/>
        <v>10000</v>
      </c>
      <c r="AS21" s="13">
        <f ca="1"/>
        <v>10000</v>
      </c>
      <c r="AT21" s="13">
        <f ca="1"/>
        <v>-89.8</v>
      </c>
      <c r="BI21" t="str">
        <f ca="1"/>
        <v>CBA</v>
      </c>
      <c r="BJ21" s="13">
        <f ca="1"/>
        <v>-60.699999999999953</v>
      </c>
      <c r="BL21" t="str">
        <f ca="1"/>
        <v>CBA</v>
      </c>
      <c r="BM21" s="13">
        <f ca="1"/>
        <v>1970.8</v>
      </c>
      <c r="BN21" s="13">
        <f ca="1"/>
        <v>1950</v>
      </c>
      <c r="CG21" t="str">
        <v>NDQ</v>
      </c>
      <c r="CH21" t="s">
        <v>146</v>
      </c>
    </row>
    <row r="22" spans="1:86" x14ac:dyDescent="0.25">
      <c r="A22" t="str">
        <v>PORTO</v>
      </c>
      <c r="B22" s="40">
        <v>2.5499999999999998</v>
      </c>
      <c r="C22" s="13">
        <v>0.255</v>
      </c>
      <c r="D22">
        <v>23.39676</v>
      </c>
      <c r="E22">
        <v>23.09496648</v>
      </c>
      <c r="F22">
        <v>0</v>
      </c>
      <c r="G22">
        <f ca="1"/>
        <v>0</v>
      </c>
      <c r="H22">
        <v>0</v>
      </c>
      <c r="I22">
        <f ca="1"/>
        <v>0</v>
      </c>
      <c r="J22">
        <v>2.5499999999999998</v>
      </c>
      <c r="K22">
        <f ca="1"/>
        <v>0.255</v>
      </c>
      <c r="L22">
        <v>23.39676</v>
      </c>
      <c r="M22">
        <f ca="1"/>
        <v>23.09496648</v>
      </c>
      <c r="N22">
        <v>0</v>
      </c>
      <c r="O22">
        <v>0</v>
      </c>
      <c r="P22">
        <v>4.6793519999999998E-2</v>
      </c>
      <c r="Q22">
        <f ca="1"/>
        <v>0</v>
      </c>
      <c r="R22" s="40">
        <v>0</v>
      </c>
      <c r="S22">
        <f ca="1"/>
        <v>0</v>
      </c>
      <c r="T22" s="13">
        <f t="shared" si="0"/>
        <v>0</v>
      </c>
      <c r="U22">
        <f ca="1"/>
        <v>0</v>
      </c>
      <c r="V22">
        <f ca="1"/>
        <v>0</v>
      </c>
      <c r="W22">
        <f ca="1"/>
        <v>0</v>
      </c>
      <c r="X22" s="70">
        <v>0.54</v>
      </c>
      <c r="Y22" t="s">
        <v>94</v>
      </c>
      <c r="Z22" s="13">
        <v>4.6375999999999999</v>
      </c>
      <c r="AA22" s="70"/>
      <c r="AB22">
        <v>21</v>
      </c>
      <c r="AC22" t="str">
        <v>BUD</v>
      </c>
      <c r="AD22" s="1">
        <v>43734</v>
      </c>
      <c r="AE22" s="40">
        <f ca="1"/>
        <v>30000</v>
      </c>
      <c r="AF22" s="13">
        <f ca="1"/>
        <v>0.02</v>
      </c>
      <c r="AG22" s="13">
        <f ca="1"/>
        <v>600</v>
      </c>
      <c r="AH22" s="13">
        <f ca="1"/>
        <v>10</v>
      </c>
      <c r="AI22">
        <f ca="1"/>
        <v>46245</v>
      </c>
      <c r="AJ22" s="40">
        <f ca="1"/>
        <v>200659</v>
      </c>
      <c r="AK22">
        <f ca="1"/>
        <v>0</v>
      </c>
      <c r="AL22">
        <f ca="1"/>
        <v>0</v>
      </c>
      <c r="AM22">
        <f ca="1"/>
        <v>0</v>
      </c>
      <c r="AN22" t="str">
        <f ca="1"/>
        <v>Short Term</v>
      </c>
      <c r="AP22" t="str">
        <f ca="1"/>
        <v>MANA</v>
      </c>
      <c r="AQ22" s="40">
        <f ca="1"/>
        <v>89</v>
      </c>
      <c r="AR22" s="13">
        <f ca="1"/>
        <v>1534.0278074129999</v>
      </c>
      <c r="AS22" s="13">
        <f ca="1"/>
        <v>437.61570170399995</v>
      </c>
      <c r="AT22" s="13">
        <f ca="1"/>
        <v>-1097.2427075328167</v>
      </c>
      <c r="BI22" t="str">
        <f ca="1"/>
        <v>ANW</v>
      </c>
      <c r="BJ22" s="13">
        <f ca="1"/>
        <v>-89.8</v>
      </c>
      <c r="BL22" t="str">
        <f ca="1"/>
        <v>ANW</v>
      </c>
      <c r="BM22" s="13">
        <f ca="1"/>
        <v>10000</v>
      </c>
      <c r="BN22" s="13">
        <f ca="1"/>
        <v>10000</v>
      </c>
      <c r="CG22" t="str">
        <v>PORTO</v>
      </c>
      <c r="CH22" t="s">
        <v>145</v>
      </c>
    </row>
    <row r="23" spans="1:86" x14ac:dyDescent="0.25">
      <c r="A23" t="str">
        <v>PYR</v>
      </c>
      <c r="B23" s="40">
        <v>0</v>
      </c>
      <c r="C23" s="13">
        <v>0</v>
      </c>
      <c r="D23">
        <v>0</v>
      </c>
      <c r="E23">
        <v>0</v>
      </c>
      <c r="F23">
        <v>0</v>
      </c>
      <c r="G23">
        <f ca="1"/>
        <v>0</v>
      </c>
      <c r="H23">
        <v>0</v>
      </c>
      <c r="I23">
        <f ca="1"/>
        <v>0</v>
      </c>
      <c r="J23">
        <v>0</v>
      </c>
      <c r="K23">
        <f ca="1"/>
        <v>0</v>
      </c>
      <c r="L23">
        <v>0</v>
      </c>
      <c r="M23">
        <f ca="1"/>
        <v>0</v>
      </c>
      <c r="N23">
        <v>967</v>
      </c>
      <c r="O23">
        <v>1000.8449999999999</v>
      </c>
      <c r="P23">
        <v>0</v>
      </c>
      <c r="Q23">
        <f ca="1"/>
        <v>0</v>
      </c>
      <c r="R23" s="40">
        <v>967</v>
      </c>
      <c r="S23">
        <f ca="1"/>
        <v>967</v>
      </c>
      <c r="T23" s="13">
        <f t="shared" si="0"/>
        <v>38.68</v>
      </c>
      <c r="U23">
        <f ca="1"/>
        <v>1000.8449999999999</v>
      </c>
      <c r="V23">
        <f ca="1"/>
        <v>1.0349999999999999</v>
      </c>
      <c r="W23">
        <f ca="1"/>
        <v>10.01</v>
      </c>
      <c r="X23" s="70">
        <v>0.04</v>
      </c>
      <c r="Y23" t="s">
        <v>95</v>
      </c>
      <c r="Z23" s="13">
        <v>1.0349999999999999</v>
      </c>
      <c r="AA23" s="70"/>
      <c r="AB23">
        <v>22</v>
      </c>
      <c r="AC23" t="str">
        <v>BUD</v>
      </c>
      <c r="AD23" s="1">
        <v>43742</v>
      </c>
      <c r="AE23" s="40">
        <f ca="1"/>
        <v>27791</v>
      </c>
      <c r="AF23" s="13">
        <f ca="1"/>
        <v>7.1999999999999995E-2</v>
      </c>
      <c r="AG23" s="13">
        <f ca="1"/>
        <v>2000.9519999999998</v>
      </c>
      <c r="AH23" s="13">
        <f ca="1"/>
        <v>19.95</v>
      </c>
      <c r="AI23">
        <f ca="1"/>
        <v>76245</v>
      </c>
      <c r="AJ23" s="40">
        <f ca="1"/>
        <v>200659</v>
      </c>
      <c r="AK23">
        <f ca="1"/>
        <v>0</v>
      </c>
      <c r="AL23">
        <f ca="1"/>
        <v>0</v>
      </c>
      <c r="AM23">
        <f ca="1"/>
        <v>0</v>
      </c>
      <c r="AN23" t="str">
        <f ca="1"/>
        <v>Short Term</v>
      </c>
      <c r="AP23" t="str">
        <f ca="1"/>
        <v>FFF</v>
      </c>
      <c r="AQ23" s="40">
        <f ca="1"/>
        <v>12334</v>
      </c>
      <c r="AR23" s="13">
        <f ca="1"/>
        <v>3999.6049999999996</v>
      </c>
      <c r="AS23" s="13">
        <f ca="1"/>
        <v>1788.4299999999998</v>
      </c>
      <c r="AT23" s="13">
        <f ca="1"/>
        <v>-2271.0249999999996</v>
      </c>
      <c r="BI23" t="str">
        <f ca="1"/>
        <v>MANA</v>
      </c>
      <c r="BJ23" s="13">
        <f ca="1"/>
        <v>-1097.2427075328167</v>
      </c>
      <c r="BL23" t="str">
        <f ca="1"/>
        <v>MANA</v>
      </c>
      <c r="BM23" s="13">
        <f ca="1"/>
        <v>1534.0278074129999</v>
      </c>
      <c r="BN23" s="13">
        <f ca="1"/>
        <v>437.61570170399995</v>
      </c>
      <c r="CG23" t="str">
        <v>PYR</v>
      </c>
      <c r="CH23" t="s">
        <v>146</v>
      </c>
    </row>
    <row r="24" spans="1:86" x14ac:dyDescent="0.25">
      <c r="A24" t="str">
        <v>RLT</v>
      </c>
      <c r="B24" s="40">
        <v>0</v>
      </c>
      <c r="C24" s="13">
        <v>0</v>
      </c>
      <c r="D24">
        <v>0</v>
      </c>
      <c r="E24">
        <v>0</v>
      </c>
      <c r="F24">
        <v>836</v>
      </c>
      <c r="G24">
        <f ca="1"/>
        <v>999.0200000000001</v>
      </c>
      <c r="H24">
        <v>1498.42</v>
      </c>
      <c r="I24">
        <f ca="1"/>
        <v>469.4</v>
      </c>
      <c r="J24">
        <v>836</v>
      </c>
      <c r="K24">
        <f ca="1"/>
        <v>999.0200000000001</v>
      </c>
      <c r="L24">
        <v>1498.42</v>
      </c>
      <c r="M24">
        <f ca="1"/>
        <v>469.4</v>
      </c>
      <c r="N24">
        <v>836</v>
      </c>
      <c r="O24">
        <v>999.0200000000001</v>
      </c>
      <c r="P24">
        <v>0</v>
      </c>
      <c r="Q24">
        <f ca="1"/>
        <v>30</v>
      </c>
      <c r="R24" s="40">
        <v>0</v>
      </c>
      <c r="S24">
        <f ca="1"/>
        <v>0</v>
      </c>
      <c r="T24" s="13">
        <f t="shared" si="0"/>
        <v>0</v>
      </c>
      <c r="U24">
        <f ca="1"/>
        <v>0</v>
      </c>
      <c r="V24">
        <f ca="1"/>
        <v>0</v>
      </c>
      <c r="W24">
        <f ca="1"/>
        <v>0</v>
      </c>
      <c r="X24" s="70">
        <v>1.65</v>
      </c>
      <c r="Y24" t="s">
        <v>92</v>
      </c>
      <c r="Z24" s="13">
        <v>1.6150000000000002</v>
      </c>
      <c r="AA24" s="70"/>
      <c r="AB24">
        <v>23</v>
      </c>
      <c r="AC24" t="str">
        <v>BUD</v>
      </c>
      <c r="AD24" s="1">
        <v>43763</v>
      </c>
      <c r="AE24" s="40">
        <f ca="1"/>
        <v>66315</v>
      </c>
      <c r="AF24" s="13">
        <f ca="1"/>
        <v>1.9E-2</v>
      </c>
      <c r="AG24" s="13">
        <f ca="1"/>
        <v>1259.9849999999999</v>
      </c>
      <c r="AH24" s="13">
        <f ca="1"/>
        <v>19.96</v>
      </c>
      <c r="AI24">
        <f ca="1"/>
        <v>104036</v>
      </c>
      <c r="AJ24" s="40">
        <f ca="1"/>
        <v>200659</v>
      </c>
      <c r="AK24">
        <f ca="1"/>
        <v>0</v>
      </c>
      <c r="AL24">
        <f ca="1"/>
        <v>0</v>
      </c>
      <c r="AM24">
        <f ca="1"/>
        <v>0</v>
      </c>
      <c r="AN24" t="str">
        <f ca="1"/>
        <v>Short Term</v>
      </c>
      <c r="AP24" t="str">
        <f ca="1"/>
        <v>TNT</v>
      </c>
      <c r="AQ24" s="40">
        <f ca="1"/>
        <v>13236</v>
      </c>
      <c r="AR24" s="13">
        <f ca="1"/>
        <v>4999.88</v>
      </c>
      <c r="AS24" s="13">
        <f ca="1"/>
        <v>2647.2000000000003</v>
      </c>
      <c r="AT24" s="13">
        <f ca="1"/>
        <v>-2412.5299999999997</v>
      </c>
      <c r="BI24" t="str">
        <f ca="1"/>
        <v>FFF</v>
      </c>
      <c r="BJ24" s="13">
        <f ca="1"/>
        <v>-2271.0249999999996</v>
      </c>
      <c r="BL24" t="str">
        <f ca="1"/>
        <v>FFF</v>
      </c>
      <c r="BM24" s="13">
        <f ca="1"/>
        <v>3999.6049999999996</v>
      </c>
      <c r="BN24" s="13">
        <f ca="1"/>
        <v>1788.4299999999998</v>
      </c>
      <c r="BX24" s="13">
        <f>1.33/1</f>
        <v>1.33</v>
      </c>
      <c r="CG24" t="str">
        <v>RLT</v>
      </c>
      <c r="CH24" t="s">
        <v>146</v>
      </c>
    </row>
    <row r="25" spans="1:86" x14ac:dyDescent="0.25">
      <c r="A25" t="str">
        <v>SHG</v>
      </c>
      <c r="B25" s="40">
        <v>0</v>
      </c>
      <c r="C25" s="13">
        <v>0</v>
      </c>
      <c r="D25">
        <v>0</v>
      </c>
      <c r="E25">
        <v>0</v>
      </c>
      <c r="F25">
        <v>0</v>
      </c>
      <c r="G25">
        <f ca="1"/>
        <v>0</v>
      </c>
      <c r="H25">
        <v>0</v>
      </c>
      <c r="I25">
        <f ca="1"/>
        <v>0</v>
      </c>
      <c r="J25">
        <v>0</v>
      </c>
      <c r="K25">
        <f ca="1"/>
        <v>0</v>
      </c>
      <c r="L25">
        <v>0</v>
      </c>
      <c r="M25">
        <f ca="1"/>
        <v>0</v>
      </c>
      <c r="N25">
        <v>1851</v>
      </c>
      <c r="O25">
        <v>999.54000000000008</v>
      </c>
      <c r="P25">
        <v>0</v>
      </c>
      <c r="Q25">
        <f ca="1"/>
        <v>0</v>
      </c>
      <c r="R25" s="40">
        <v>1851</v>
      </c>
      <c r="S25">
        <f ca="1"/>
        <v>1851</v>
      </c>
      <c r="T25" s="13">
        <f t="shared" si="0"/>
        <v>203.61</v>
      </c>
      <c r="U25">
        <f ca="1"/>
        <v>999.54000000000008</v>
      </c>
      <c r="V25">
        <f ca="1"/>
        <v>0.54</v>
      </c>
      <c r="W25">
        <f ca="1"/>
        <v>10</v>
      </c>
      <c r="X25" s="70">
        <v>0.11</v>
      </c>
      <c r="Y25" t="s">
        <v>90</v>
      </c>
      <c r="Z25" s="13">
        <v>0.54</v>
      </c>
      <c r="AA25" s="70"/>
      <c r="AB25">
        <v>24</v>
      </c>
      <c r="AC25" t="str">
        <v>BUD</v>
      </c>
      <c r="AD25" s="1">
        <v>43902</v>
      </c>
      <c r="AE25" s="40">
        <f ca="1"/>
        <v>130308</v>
      </c>
      <c r="AF25" s="13">
        <f ca="1"/>
        <v>1.55E-2</v>
      </c>
      <c r="AG25" s="13">
        <f ca="1"/>
        <v>2019.7739999999999</v>
      </c>
      <c r="AH25" s="13">
        <f ca="1"/>
        <v>20</v>
      </c>
      <c r="AI25">
        <f ca="1"/>
        <v>170351</v>
      </c>
      <c r="AJ25" s="40">
        <f ca="1"/>
        <v>200659</v>
      </c>
      <c r="AK25">
        <f ca="1"/>
        <v>100000</v>
      </c>
      <c r="AL25">
        <f ca="1"/>
        <v>1550</v>
      </c>
      <c r="AM25">
        <f ca="1"/>
        <v>15.348251834116095</v>
      </c>
      <c r="AN25" t="str">
        <f ca="1"/>
        <v>Long Term</v>
      </c>
      <c r="AP25" t="str">
        <f ca="1"/>
        <v>BUB</v>
      </c>
      <c r="AQ25" s="40">
        <f ca="1"/>
        <v>9348</v>
      </c>
      <c r="AR25" s="13">
        <f ca="1"/>
        <v>8198.2400000000052</v>
      </c>
      <c r="AS25" s="13">
        <f ca="1"/>
        <v>5175.99</v>
      </c>
      <c r="AT25" s="13">
        <f ca="1"/>
        <v>-3118.4308270086422</v>
      </c>
      <c r="BI25" t="str">
        <f ca="1"/>
        <v>TNT</v>
      </c>
      <c r="BJ25" s="13">
        <f ca="1"/>
        <v>-2412.5299999999997</v>
      </c>
      <c r="BL25" t="str">
        <f ca="1"/>
        <v>TNT</v>
      </c>
      <c r="BM25" s="13">
        <f ca="1"/>
        <v>4999.88</v>
      </c>
      <c r="BN25" s="13">
        <f ca="1"/>
        <v>2647.2000000000003</v>
      </c>
      <c r="CG25" t="str">
        <v>SHG</v>
      </c>
      <c r="CH25" t="s">
        <v>146</v>
      </c>
    </row>
    <row r="26" spans="1:86" x14ac:dyDescent="0.25">
      <c r="A26" t="str">
        <v>SHIB</v>
      </c>
      <c r="B26" s="40">
        <v>675331051</v>
      </c>
      <c r="C26" s="13">
        <v>5470.0684773200001</v>
      </c>
      <c r="D26">
        <v>7078.6270396300006</v>
      </c>
      <c r="E26">
        <v>1608.5585623100005</v>
      </c>
      <c r="F26">
        <v>-300057015</v>
      </c>
      <c r="G26">
        <f ca="1"/>
        <v>0</v>
      </c>
      <c r="H26">
        <v>0</v>
      </c>
      <c r="I26">
        <f ca="1"/>
        <v>0</v>
      </c>
      <c r="J26">
        <v>375274036</v>
      </c>
      <c r="K26">
        <f ca="1"/>
        <v>5470.0684773200001</v>
      </c>
      <c r="L26">
        <v>7078.6270396300006</v>
      </c>
      <c r="M26">
        <f ca="1"/>
        <v>1608.5585623100005</v>
      </c>
      <c r="N26">
        <v>0</v>
      </c>
      <c r="O26">
        <v>0</v>
      </c>
      <c r="P26">
        <v>0</v>
      </c>
      <c r="Q26">
        <f ca="1"/>
        <v>0</v>
      </c>
      <c r="R26" s="40">
        <v>300057015</v>
      </c>
      <c r="S26">
        <f ca="1"/>
        <v>0</v>
      </c>
      <c r="T26" s="13">
        <f t="shared" si="0"/>
        <v>5851.1117924999999</v>
      </c>
      <c r="U26">
        <f ca="1"/>
        <v>0</v>
      </c>
      <c r="V26">
        <f ca="1"/>
        <v>0</v>
      </c>
      <c r="W26">
        <f ca="1"/>
        <v>0</v>
      </c>
      <c r="X26" s="70">
        <v>1.95E-5</v>
      </c>
      <c r="Y26" t="s">
        <v>91</v>
      </c>
      <c r="Z26" s="13">
        <v>1.2672564102564104E-5</v>
      </c>
      <c r="AA26" s="70"/>
      <c r="AB26">
        <v>25</v>
      </c>
      <c r="AC26" t="str">
        <v>BUD</v>
      </c>
      <c r="AD26" s="1">
        <v>44419</v>
      </c>
      <c r="AE26" s="40">
        <f ca="1"/>
        <v>66666</v>
      </c>
      <c r="AF26" s="13">
        <f ca="1"/>
        <v>1.4999999999999999E-2</v>
      </c>
      <c r="AG26" s="13">
        <f ca="1"/>
        <v>999.99</v>
      </c>
      <c r="AH26" s="13">
        <f ca="1"/>
        <v>10</v>
      </c>
      <c r="AI26">
        <f ca="1"/>
        <v>300659</v>
      </c>
      <c r="AJ26" s="40">
        <f ca="1"/>
        <v>200659</v>
      </c>
      <c r="AK26">
        <f ca="1"/>
        <v>66666</v>
      </c>
      <c r="AL26">
        <f ca="1"/>
        <v>999.99</v>
      </c>
      <c r="AM26">
        <f ca="1"/>
        <v>10</v>
      </c>
      <c r="AN26" t="str">
        <f ca="1"/>
        <v>Long Term</v>
      </c>
      <c r="AP26" t="str">
        <f ca="1"/>
        <v>XRP</v>
      </c>
      <c r="AQ26" s="40">
        <f ca="1"/>
        <v>26733.960000000003</v>
      </c>
      <c r="AR26" s="13">
        <f ca="1"/>
        <v>43113.435113000014</v>
      </c>
      <c r="AS26" s="13">
        <f ca="1"/>
        <v>39826.61867939998</v>
      </c>
      <c r="AT26" s="13">
        <f ca="1"/>
        <v>-3358.5136614684338</v>
      </c>
      <c r="BI26" t="str">
        <f ca="1"/>
        <v>BUB</v>
      </c>
      <c r="BJ26" s="13">
        <f ca="1"/>
        <v>-3118.4308270086422</v>
      </c>
      <c r="BL26" t="str">
        <f ca="1"/>
        <v>BUB</v>
      </c>
      <c r="BM26" s="13">
        <f ca="1"/>
        <v>8198.2400000000052</v>
      </c>
      <c r="BN26" s="13">
        <f ca="1"/>
        <v>5175.99</v>
      </c>
      <c r="CG26" t="str">
        <v>SHIB</v>
      </c>
      <c r="CH26" t="s">
        <v>145</v>
      </c>
    </row>
    <row r="27" spans="1:86" x14ac:dyDescent="0.25">
      <c r="A27" t="str">
        <v>STX</v>
      </c>
      <c r="B27" s="40">
        <v>16.164100000000001</v>
      </c>
      <c r="C27" s="13">
        <v>21.207299200000001</v>
      </c>
      <c r="D27">
        <v>21.702785499999997</v>
      </c>
      <c r="E27">
        <v>0.46868629999999606</v>
      </c>
      <c r="F27">
        <v>-2.8200000000001779E-2</v>
      </c>
      <c r="G27">
        <f ca="1"/>
        <v>0</v>
      </c>
      <c r="H27">
        <v>0</v>
      </c>
      <c r="I27">
        <f ca="1"/>
        <v>0</v>
      </c>
      <c r="J27">
        <v>16.135899999999999</v>
      </c>
      <c r="K27">
        <f ca="1"/>
        <v>21.207299200000001</v>
      </c>
      <c r="L27">
        <v>21.702785499999997</v>
      </c>
      <c r="M27">
        <f ca="1"/>
        <v>0.46868629999999606</v>
      </c>
      <c r="N27">
        <v>0</v>
      </c>
      <c r="O27">
        <v>0</v>
      </c>
      <c r="P27">
        <v>2.6800000000000001E-2</v>
      </c>
      <c r="Q27">
        <f ca="1"/>
        <v>0</v>
      </c>
      <c r="R27" s="40">
        <v>2.8200000000001779E-2</v>
      </c>
      <c r="S27">
        <f ca="1"/>
        <v>0</v>
      </c>
      <c r="T27" s="13">
        <f t="shared" si="0"/>
        <v>3.0174000000001904E-2</v>
      </c>
      <c r="U27">
        <f ca="1"/>
        <v>0</v>
      </c>
      <c r="V27">
        <f ca="1"/>
        <v>0</v>
      </c>
      <c r="W27">
        <f ca="1"/>
        <v>0</v>
      </c>
      <c r="X27" s="70">
        <v>1.07</v>
      </c>
      <c r="Y27" t="s">
        <v>91</v>
      </c>
      <c r="Z27" s="13">
        <v>1.3285</v>
      </c>
      <c r="AA27" s="70"/>
      <c r="AB27">
        <v>26</v>
      </c>
      <c r="AC27" t="str">
        <v>BUD</v>
      </c>
      <c r="AD27" s="1">
        <v>44607</v>
      </c>
      <c r="AE27" s="40">
        <f ca="1"/>
        <v>222222</v>
      </c>
      <c r="AF27" s="13">
        <f ca="1"/>
        <v>8.9999999999999993E-3</v>
      </c>
      <c r="AG27" s="13">
        <f ca="1"/>
        <v>1999.9979999999998</v>
      </c>
      <c r="AH27" s="13">
        <f ca="1"/>
        <v>19.95</v>
      </c>
      <c r="AI27">
        <f ca="1"/>
        <v>367325</v>
      </c>
      <c r="AJ27" s="40">
        <f ca="1"/>
        <v>200659</v>
      </c>
      <c r="AK27">
        <f ca="1"/>
        <v>222222</v>
      </c>
      <c r="AL27">
        <f ca="1"/>
        <v>1999.9979999999998</v>
      </c>
      <c r="AM27">
        <f ca="1"/>
        <v>19.95</v>
      </c>
      <c r="AN27" t="str">
        <f ca="1"/>
        <v>Long Term</v>
      </c>
      <c r="AP27" t="str">
        <f ca="1"/>
        <v>BNB</v>
      </c>
      <c r="AQ27" s="40">
        <f ca="1"/>
        <v>15.815400000000006</v>
      </c>
      <c r="AR27" s="13">
        <f ca="1"/>
        <v>17975.225971036711</v>
      </c>
      <c r="AS27" s="13">
        <f ca="1"/>
        <v>10413.074510764</v>
      </c>
      <c r="AT27" s="13">
        <f ca="1"/>
        <v>-7598.0790121734844</v>
      </c>
      <c r="BI27" t="str">
        <f ca="1"/>
        <v>XRP</v>
      </c>
      <c r="BJ27" s="13">
        <f ca="1"/>
        <v>-3358.5136614684338</v>
      </c>
      <c r="BL27" t="str">
        <f ca="1"/>
        <v>XRP</v>
      </c>
      <c r="BM27" s="13">
        <f ca="1"/>
        <v>43113.435113000014</v>
      </c>
      <c r="BN27" s="13">
        <f ca="1"/>
        <v>39826.61867939998</v>
      </c>
      <c r="CA27" s="13" t="s">
        <v>172</v>
      </c>
      <c r="CG27" t="str">
        <v>STX</v>
      </c>
      <c r="CH27" t="s">
        <v>146</v>
      </c>
    </row>
    <row r="28" spans="1:86" x14ac:dyDescent="0.25">
      <c r="A28" t="str">
        <v>SYA</v>
      </c>
      <c r="B28" s="40">
        <v>0</v>
      </c>
      <c r="C28" s="13">
        <v>0</v>
      </c>
      <c r="D28">
        <v>0</v>
      </c>
      <c r="E28">
        <v>0</v>
      </c>
      <c r="F28">
        <v>0</v>
      </c>
      <c r="G28">
        <f ca="1"/>
        <v>0</v>
      </c>
      <c r="H28">
        <v>0</v>
      </c>
      <c r="I28">
        <f ca="1"/>
        <v>0</v>
      </c>
      <c r="J28">
        <v>0</v>
      </c>
      <c r="K28">
        <f ca="1"/>
        <v>0</v>
      </c>
      <c r="L28">
        <v>0</v>
      </c>
      <c r="M28">
        <f ca="1"/>
        <v>0</v>
      </c>
      <c r="N28">
        <v>26315</v>
      </c>
      <c r="O28">
        <v>999.97</v>
      </c>
      <c r="P28">
        <v>0</v>
      </c>
      <c r="Q28">
        <f ca="1"/>
        <v>0</v>
      </c>
      <c r="R28" s="40">
        <v>26315</v>
      </c>
      <c r="S28">
        <f ca="1"/>
        <v>26315</v>
      </c>
      <c r="T28" s="13">
        <f t="shared" si="0"/>
        <v>5526.15</v>
      </c>
      <c r="U28">
        <f ca="1"/>
        <v>999.97</v>
      </c>
      <c r="V28">
        <f ca="1"/>
        <v>3.7999999999999999E-2</v>
      </c>
      <c r="W28">
        <f ca="1"/>
        <v>10</v>
      </c>
      <c r="X28" s="70">
        <v>0.21</v>
      </c>
      <c r="Y28" t="s">
        <v>92</v>
      </c>
      <c r="Z28" s="13">
        <v>3.7999999999999999E-2</v>
      </c>
      <c r="AA28" s="70"/>
      <c r="AB28">
        <v>27</v>
      </c>
      <c r="AC28" t="str">
        <v>CBA</v>
      </c>
      <c r="AD28" s="1">
        <v>43345</v>
      </c>
      <c r="AE28" s="40">
        <f ca="1"/>
        <v>26</v>
      </c>
      <c r="AF28" s="13">
        <f ca="1"/>
        <v>75.8</v>
      </c>
      <c r="AG28" s="13">
        <f ca="1"/>
        <v>1970.8</v>
      </c>
      <c r="AH28" s="13">
        <f ca="1"/>
        <v>19.95</v>
      </c>
      <c r="AI28">
        <f ca="1"/>
        <v>0</v>
      </c>
      <c r="AJ28" s="40">
        <f ca="1"/>
        <v>26</v>
      </c>
      <c r="AK28">
        <f ca="1"/>
        <v>0</v>
      </c>
      <c r="AL28">
        <f ca="1"/>
        <v>0</v>
      </c>
      <c r="AM28">
        <f ca="1"/>
        <v>0</v>
      </c>
      <c r="AN28" t="str">
        <f ca="1"/>
        <v>Short Term</v>
      </c>
      <c r="AP28" t="str">
        <f ca="1"/>
        <v>AXS</v>
      </c>
      <c r="AQ28" s="40">
        <f ca="1"/>
        <v>131.88</v>
      </c>
      <c r="AR28" s="13">
        <f ca="1"/>
        <v>71544.757321720041</v>
      </c>
      <c r="AS28" s="13">
        <f ca="1"/>
        <v>11809.609803653</v>
      </c>
      <c r="AT28" s="13">
        <f ca="1"/>
        <v>-59756.884652169836</v>
      </c>
      <c r="BI28" t="str">
        <f ca="1"/>
        <v>BNB</v>
      </c>
      <c r="BJ28" s="13">
        <f ca="1"/>
        <v>-7598.0790121734844</v>
      </c>
      <c r="BL28" t="str">
        <f ca="1"/>
        <v>BNB</v>
      </c>
      <c r="BM28" s="13">
        <f ca="1"/>
        <v>17975.225971036711</v>
      </c>
      <c r="BN28" s="13">
        <f ca="1"/>
        <v>10413.074510764</v>
      </c>
      <c r="CG28" t="str">
        <v>SYA</v>
      </c>
      <c r="CH28" t="s">
        <v>145</v>
      </c>
    </row>
    <row r="29" spans="1:86" x14ac:dyDescent="0.25">
      <c r="A29" t="str">
        <v>SYI</v>
      </c>
      <c r="B29" s="40">
        <v>0</v>
      </c>
      <c r="C29" s="13">
        <v>0</v>
      </c>
      <c r="D29">
        <v>0</v>
      </c>
      <c r="E29">
        <v>0</v>
      </c>
      <c r="F29">
        <v>34</v>
      </c>
      <c r="G29">
        <f ca="1"/>
        <v>975.46</v>
      </c>
      <c r="H29">
        <v>990.76</v>
      </c>
      <c r="I29">
        <f ca="1"/>
        <v>-4.7000000000000455</v>
      </c>
      <c r="J29">
        <v>34</v>
      </c>
      <c r="K29">
        <f ca="1"/>
        <v>975.46</v>
      </c>
      <c r="L29">
        <v>990.76</v>
      </c>
      <c r="M29">
        <f ca="1"/>
        <v>-4.7000000000000455</v>
      </c>
      <c r="N29">
        <v>34</v>
      </c>
      <c r="O29">
        <v>975.46</v>
      </c>
      <c r="P29">
        <v>0</v>
      </c>
      <c r="Q29">
        <f ca="1"/>
        <v>20</v>
      </c>
      <c r="R29" s="40">
        <v>0</v>
      </c>
      <c r="S29">
        <f ca="1"/>
        <v>0</v>
      </c>
      <c r="T29" s="13">
        <f t="shared" si="0"/>
        <v>0</v>
      </c>
      <c r="U29">
        <f ca="1"/>
        <v>0</v>
      </c>
      <c r="V29">
        <f ca="1"/>
        <v>0</v>
      </c>
      <c r="W29">
        <f ca="1"/>
        <v>0</v>
      </c>
      <c r="X29" s="70">
        <v>28.41</v>
      </c>
      <c r="Y29" t="s">
        <v>95</v>
      </c>
      <c r="Z29" s="13">
        <v>28.914999999999999</v>
      </c>
      <c r="AA29" s="70"/>
      <c r="AB29">
        <v>28</v>
      </c>
      <c r="AC29" t="str">
        <v>CCE</v>
      </c>
      <c r="AD29" s="1">
        <v>44105</v>
      </c>
      <c r="AE29" s="40">
        <f ca="1"/>
        <v>5000000</v>
      </c>
      <c r="AF29" s="13">
        <f ca="1"/>
        <v>1E-3</v>
      </c>
      <c r="AG29" s="13">
        <f ca="1"/>
        <v>5000</v>
      </c>
      <c r="AH29" s="13">
        <f ca="1"/>
        <v>19.95</v>
      </c>
      <c r="AI29">
        <f ca="1"/>
        <v>0</v>
      </c>
      <c r="AJ29" s="40">
        <f ca="1"/>
        <v>5000000</v>
      </c>
      <c r="AK29">
        <f ca="1"/>
        <v>0</v>
      </c>
      <c r="AL29">
        <f ca="1"/>
        <v>0</v>
      </c>
      <c r="AM29">
        <f ca="1"/>
        <v>0</v>
      </c>
      <c r="AN29" t="str">
        <f ca="1"/>
        <v>Short Term</v>
      </c>
      <c r="BI29" t="str">
        <f ca="1"/>
        <v>AXS</v>
      </c>
      <c r="BJ29" s="13">
        <f ca="1"/>
        <v>-59756.884652169836</v>
      </c>
      <c r="BL29" t="str">
        <f ca="1"/>
        <v>AXS</v>
      </c>
      <c r="BM29" s="13">
        <f ca="1"/>
        <v>71544.757321720041</v>
      </c>
      <c r="BN29" s="13">
        <f ca="1"/>
        <v>11809.609803653</v>
      </c>
      <c r="CG29" t="str">
        <v>SYI</v>
      </c>
      <c r="CH29" t="s">
        <v>146</v>
      </c>
    </row>
    <row r="30" spans="1:86" x14ac:dyDescent="0.25">
      <c r="A30" t="str">
        <v>TNT</v>
      </c>
      <c r="B30" s="40">
        <v>0</v>
      </c>
      <c r="C30" s="13">
        <v>0</v>
      </c>
      <c r="D30">
        <v>0</v>
      </c>
      <c r="E30">
        <v>0</v>
      </c>
      <c r="F30">
        <v>13236</v>
      </c>
      <c r="G30">
        <f ca="1"/>
        <v>4999.88</v>
      </c>
      <c r="H30">
        <v>2647.2000000000003</v>
      </c>
      <c r="I30">
        <f ca="1"/>
        <v>-2412.5299999999997</v>
      </c>
      <c r="J30">
        <v>13236</v>
      </c>
      <c r="K30">
        <f ca="1"/>
        <v>4999.88</v>
      </c>
      <c r="L30">
        <v>2647.2000000000003</v>
      </c>
      <c r="M30">
        <f ca="1"/>
        <v>-2412.5299999999997</v>
      </c>
      <c r="N30">
        <v>13236</v>
      </c>
      <c r="O30">
        <v>4999.88</v>
      </c>
      <c r="P30">
        <v>0</v>
      </c>
      <c r="Q30">
        <f ca="1"/>
        <v>59.849999999999994</v>
      </c>
      <c r="R30" s="40">
        <v>0</v>
      </c>
      <c r="S30">
        <f ca="1"/>
        <v>0</v>
      </c>
      <c r="T30" s="13">
        <f t="shared" si="0"/>
        <v>0</v>
      </c>
      <c r="U30">
        <f ca="1"/>
        <v>0</v>
      </c>
      <c r="V30">
        <f ca="1"/>
        <v>0</v>
      </c>
      <c r="W30">
        <f ca="1"/>
        <v>0</v>
      </c>
      <c r="X30" s="70">
        <v>8.6999999999999994E-2</v>
      </c>
      <c r="Y30" t="s">
        <v>92</v>
      </c>
      <c r="Z30" s="13">
        <v>0.32</v>
      </c>
      <c r="AA30" s="70"/>
      <c r="AB30">
        <v>29</v>
      </c>
      <c r="AC30" t="str">
        <v>DUG</v>
      </c>
      <c r="AD30" s="1">
        <v>44055</v>
      </c>
      <c r="AE30" s="40">
        <f ca="1"/>
        <v>671</v>
      </c>
      <c r="AF30" s="13">
        <f ca="1"/>
        <v>1.49</v>
      </c>
      <c r="AG30" s="13">
        <f ca="1"/>
        <v>999.79</v>
      </c>
      <c r="AH30" s="13">
        <f ca="1"/>
        <v>10</v>
      </c>
      <c r="AI30">
        <f ca="1"/>
        <v>0</v>
      </c>
      <c r="AJ30" s="40">
        <f ca="1"/>
        <v>0</v>
      </c>
      <c r="AK30">
        <f ca="1"/>
        <v>671</v>
      </c>
      <c r="AL30">
        <f ca="1"/>
        <v>999.79</v>
      </c>
      <c r="AM30">
        <f ca="1"/>
        <v>10</v>
      </c>
      <c r="AN30" t="str">
        <f ca="1"/>
        <v>Long Term</v>
      </c>
      <c r="CG30" t="str">
        <v>TNT</v>
      </c>
      <c r="CH30" t="s">
        <v>146</v>
      </c>
    </row>
    <row r="31" spans="1:86" x14ac:dyDescent="0.25">
      <c r="A31" t="str">
        <v>UMA</v>
      </c>
      <c r="B31" s="40">
        <v>2.4000000000000004</v>
      </c>
      <c r="C31" s="13">
        <v>42.494399999999999</v>
      </c>
      <c r="D31">
        <v>43.852800000000002</v>
      </c>
      <c r="E31">
        <v>1.3140200000000031</v>
      </c>
      <c r="F31">
        <v>0</v>
      </c>
      <c r="G31">
        <f ca="1"/>
        <v>0</v>
      </c>
      <c r="H31">
        <v>0</v>
      </c>
      <c r="I31">
        <f ca="1"/>
        <v>0</v>
      </c>
      <c r="J31">
        <v>2.4000000000000004</v>
      </c>
      <c r="K31">
        <f ca="1"/>
        <v>42.494399999999999</v>
      </c>
      <c r="L31">
        <v>43.852800000000002</v>
      </c>
      <c r="M31">
        <f ca="1"/>
        <v>1.3140200000000031</v>
      </c>
      <c r="N31">
        <v>0</v>
      </c>
      <c r="O31">
        <v>0</v>
      </c>
      <c r="P31">
        <v>4.4380000000000003E-2</v>
      </c>
      <c r="Q31">
        <f ca="1"/>
        <v>0</v>
      </c>
      <c r="R31" s="40">
        <v>0</v>
      </c>
      <c r="S31">
        <f ca="1"/>
        <v>0</v>
      </c>
      <c r="T31" s="13">
        <f t="shared" si="0"/>
        <v>0</v>
      </c>
      <c r="U31">
        <f ca="1"/>
        <v>0</v>
      </c>
      <c r="V31">
        <f ca="1"/>
        <v>0</v>
      </c>
      <c r="W31">
        <f ca="1"/>
        <v>0</v>
      </c>
      <c r="X31" s="70">
        <v>3.2</v>
      </c>
      <c r="Y31" t="s">
        <v>91</v>
      </c>
      <c r="Z31" s="13">
        <v>17.988999999999997</v>
      </c>
      <c r="AA31" s="70"/>
      <c r="AB31">
        <v>30</v>
      </c>
      <c r="AC31" t="str">
        <v>FFF</v>
      </c>
      <c r="AD31" s="1">
        <v>44074</v>
      </c>
      <c r="AE31" s="40">
        <f ca="1"/>
        <v>5555</v>
      </c>
      <c r="AF31" s="13">
        <f ca="1"/>
        <v>0.36</v>
      </c>
      <c r="AG31" s="13">
        <f ca="1"/>
        <v>1999.8</v>
      </c>
      <c r="AH31" s="13">
        <f ca="1"/>
        <v>19.95</v>
      </c>
      <c r="AI31">
        <f ca="1"/>
        <v>0</v>
      </c>
      <c r="AJ31" s="40">
        <f ca="1"/>
        <v>12334</v>
      </c>
      <c r="AK31">
        <f ca="1"/>
        <v>0</v>
      </c>
      <c r="AL31">
        <f ca="1"/>
        <v>0</v>
      </c>
      <c r="AM31">
        <f ca="1"/>
        <v>0</v>
      </c>
      <c r="AN31" t="str">
        <f ca="1"/>
        <v>Short Term</v>
      </c>
      <c r="CG31" t="str">
        <v>UMA</v>
      </c>
      <c r="CH31" t="s">
        <v>146</v>
      </c>
    </row>
    <row r="32" spans="1:86" x14ac:dyDescent="0.25">
      <c r="A32" t="str">
        <v>VML</v>
      </c>
      <c r="B32" s="40">
        <v>0</v>
      </c>
      <c r="C32" s="13">
        <v>0</v>
      </c>
      <c r="D32">
        <v>0</v>
      </c>
      <c r="E32">
        <v>0</v>
      </c>
      <c r="F32">
        <v>23809</v>
      </c>
      <c r="G32">
        <f ca="1"/>
        <v>999.97800000000007</v>
      </c>
      <c r="H32">
        <v>1426.9639999999999</v>
      </c>
      <c r="I32">
        <f ca="1"/>
        <v>396.96599999999989</v>
      </c>
      <c r="J32">
        <v>23809</v>
      </c>
      <c r="K32">
        <f ca="1"/>
        <v>999.97800000000007</v>
      </c>
      <c r="L32">
        <v>1426.9639999999999</v>
      </c>
      <c r="M32">
        <f ca="1"/>
        <v>396.96599999999989</v>
      </c>
      <c r="N32">
        <v>23809</v>
      </c>
      <c r="O32">
        <v>999.97800000000007</v>
      </c>
      <c r="P32">
        <v>0</v>
      </c>
      <c r="Q32">
        <f ca="1"/>
        <v>30.02</v>
      </c>
      <c r="R32" s="40">
        <v>0</v>
      </c>
      <c r="S32">
        <f ca="1"/>
        <v>0</v>
      </c>
      <c r="T32" s="13">
        <f t="shared" si="0"/>
        <v>0</v>
      </c>
      <c r="U32">
        <f ca="1"/>
        <v>0</v>
      </c>
      <c r="V32">
        <f ca="1"/>
        <v>0</v>
      </c>
      <c r="W32">
        <f ca="1"/>
        <v>0</v>
      </c>
      <c r="X32" s="70">
        <v>0.03</v>
      </c>
      <c r="Y32" t="s">
        <v>92</v>
      </c>
      <c r="Z32" s="13">
        <v>5.3333333333333337E-2</v>
      </c>
      <c r="AA32" s="70"/>
      <c r="AB32">
        <v>31</v>
      </c>
      <c r="AC32" t="str">
        <v>FFF</v>
      </c>
      <c r="AD32" s="1">
        <v>44082</v>
      </c>
      <c r="AE32" s="40">
        <f ca="1"/>
        <v>6779</v>
      </c>
      <c r="AF32" s="13">
        <f ca="1"/>
        <v>0.29499999999999998</v>
      </c>
      <c r="AG32" s="13">
        <f ca="1"/>
        <v>1999.8049999999998</v>
      </c>
      <c r="AH32" s="13">
        <f ca="1"/>
        <v>19.95</v>
      </c>
      <c r="AI32">
        <f ca="1"/>
        <v>5555</v>
      </c>
      <c r="AJ32" s="40">
        <f ca="1"/>
        <v>12334</v>
      </c>
      <c r="AK32">
        <f ca="1"/>
        <v>0</v>
      </c>
      <c r="AL32">
        <f ca="1"/>
        <v>0</v>
      </c>
      <c r="AM32">
        <f ca="1"/>
        <v>0</v>
      </c>
      <c r="AN32" t="str">
        <f ca="1"/>
        <v>Short Term</v>
      </c>
      <c r="CG32" t="str">
        <v>VML</v>
      </c>
      <c r="CH32" t="s">
        <v>146</v>
      </c>
    </row>
    <row r="33" spans="1:86" x14ac:dyDescent="0.25">
      <c r="A33" t="str">
        <v>VOXEL</v>
      </c>
      <c r="B33" s="40">
        <v>28.5</v>
      </c>
      <c r="C33" s="13">
        <v>2.85</v>
      </c>
      <c r="D33">
        <v>91.553695402500011</v>
      </c>
      <c r="E33">
        <v>88.693564193953421</v>
      </c>
      <c r="F33">
        <v>0</v>
      </c>
      <c r="G33">
        <f ca="1"/>
        <v>0</v>
      </c>
      <c r="H33">
        <v>0</v>
      </c>
      <c r="I33">
        <f ca="1"/>
        <v>0</v>
      </c>
      <c r="J33">
        <v>28.5</v>
      </c>
      <c r="K33">
        <f ca="1"/>
        <v>2.85</v>
      </c>
      <c r="L33">
        <v>91.553695402500011</v>
      </c>
      <c r="M33">
        <f ca="1"/>
        <v>88.693564193953421</v>
      </c>
      <c r="N33">
        <v>0</v>
      </c>
      <c r="O33">
        <v>0</v>
      </c>
      <c r="P33">
        <v>1.0131208546600001E-2</v>
      </c>
      <c r="Q33">
        <f ca="1"/>
        <v>0</v>
      </c>
      <c r="R33" s="40">
        <v>0</v>
      </c>
      <c r="S33">
        <f ca="1"/>
        <v>0</v>
      </c>
      <c r="T33" s="13">
        <f t="shared" si="0"/>
        <v>0</v>
      </c>
      <c r="U33">
        <f ca="1"/>
        <v>0</v>
      </c>
      <c r="V33">
        <f ca="1"/>
        <v>0</v>
      </c>
      <c r="W33">
        <f ca="1"/>
        <v>0</v>
      </c>
      <c r="X33" s="70">
        <v>0.50600000000000001</v>
      </c>
      <c r="Y33" t="s">
        <v>94</v>
      </c>
      <c r="Z33" s="13">
        <v>1.6562051825000002</v>
      </c>
      <c r="AA33" s="70"/>
      <c r="AB33">
        <v>32</v>
      </c>
      <c r="AC33" t="str">
        <v>ICG</v>
      </c>
      <c r="AD33" s="1">
        <v>43913</v>
      </c>
      <c r="AE33" s="40">
        <f ca="1"/>
        <v>1000000</v>
      </c>
      <c r="AF33" s="13">
        <f ca="1"/>
        <v>1E-3</v>
      </c>
      <c r="AG33" s="13">
        <f ca="1"/>
        <v>1000</v>
      </c>
      <c r="AH33" s="13">
        <f ca="1"/>
        <v>10</v>
      </c>
      <c r="AI33">
        <f ca="1"/>
        <v>0</v>
      </c>
      <c r="AJ33" s="40">
        <f ca="1"/>
        <v>1000000</v>
      </c>
      <c r="AK33">
        <f ca="1"/>
        <v>0</v>
      </c>
      <c r="AL33">
        <f ca="1"/>
        <v>0</v>
      </c>
      <c r="AM33">
        <f ca="1"/>
        <v>0</v>
      </c>
      <c r="AN33" t="str">
        <f ca="1"/>
        <v>Short Term</v>
      </c>
      <c r="CG33" t="str">
        <v>VOXEL</v>
      </c>
      <c r="CH33" t="s">
        <v>145</v>
      </c>
    </row>
    <row r="34" spans="1:86" x14ac:dyDescent="0.25">
      <c r="A34" t="str">
        <v>XRP</v>
      </c>
      <c r="B34" s="40">
        <v>28627.122100000004</v>
      </c>
      <c r="C34" s="13">
        <v>43113.435113000014</v>
      </c>
      <c r="D34">
        <v>39826.61867939998</v>
      </c>
      <c r="E34">
        <v>-3358.5136614684338</v>
      </c>
      <c r="F34">
        <v>-1893.1621000000014</v>
      </c>
      <c r="G34">
        <f ca="1"/>
        <v>0</v>
      </c>
      <c r="H34">
        <v>0</v>
      </c>
      <c r="I34">
        <f ca="1"/>
        <v>0</v>
      </c>
      <c r="J34">
        <v>26733.960000000003</v>
      </c>
      <c r="K34">
        <f ca="1"/>
        <v>43113.435113000014</v>
      </c>
      <c r="L34">
        <v>39826.61867939998</v>
      </c>
      <c r="M34">
        <f ca="1"/>
        <v>-3358.5136614684338</v>
      </c>
      <c r="N34">
        <v>0</v>
      </c>
      <c r="O34">
        <v>0</v>
      </c>
      <c r="P34">
        <v>71.697227868400034</v>
      </c>
      <c r="Q34">
        <f ca="1"/>
        <v>0</v>
      </c>
      <c r="R34" s="40">
        <v>1893.1621000000014</v>
      </c>
      <c r="S34">
        <f ca="1"/>
        <v>0</v>
      </c>
      <c r="T34" s="13">
        <f t="shared" si="0"/>
        <v>1079.1023970000008</v>
      </c>
      <c r="U34">
        <f ca="1"/>
        <v>0</v>
      </c>
      <c r="V34">
        <f ca="1"/>
        <v>0</v>
      </c>
      <c r="W34">
        <f ca="1"/>
        <v>0</v>
      </c>
      <c r="X34" s="70">
        <v>0.56999999999999995</v>
      </c>
      <c r="Y34" t="s">
        <v>91</v>
      </c>
      <c r="Z34" s="13">
        <v>1.412608780935483</v>
      </c>
      <c r="AA34" s="70"/>
      <c r="AB34">
        <v>33</v>
      </c>
      <c r="AC34" t="str">
        <v>MKR</v>
      </c>
      <c r="AD34" s="1">
        <v>44034</v>
      </c>
      <c r="AE34" s="40">
        <f ca="1"/>
        <v>4000</v>
      </c>
      <c r="AF34" s="13">
        <f ca="1"/>
        <v>0.25</v>
      </c>
      <c r="AG34" s="13">
        <f ca="1"/>
        <v>1000</v>
      </c>
      <c r="AH34" s="13">
        <f ca="1"/>
        <v>10</v>
      </c>
      <c r="AI34">
        <f ca="1"/>
        <v>0</v>
      </c>
      <c r="AJ34" s="40">
        <f ca="1"/>
        <v>4000</v>
      </c>
      <c r="AK34">
        <f ca="1"/>
        <v>0</v>
      </c>
      <c r="AL34">
        <f ca="1"/>
        <v>0</v>
      </c>
      <c r="AM34">
        <f ca="1"/>
        <v>0</v>
      </c>
      <c r="AN34" t="str">
        <f ca="1"/>
        <v>Short Term</v>
      </c>
      <c r="CG34" t="str">
        <v>XRP</v>
      </c>
      <c r="CH34" t="s">
        <v>145</v>
      </c>
    </row>
    <row r="35" spans="1:86" x14ac:dyDescent="0.25">
      <c r="AB35">
        <v>34</v>
      </c>
      <c r="AC35" t="str">
        <v>NDQ</v>
      </c>
      <c r="AD35" s="1">
        <v>44173</v>
      </c>
      <c r="AE35" s="40">
        <f ca="1"/>
        <v>70</v>
      </c>
      <c r="AF35" s="13">
        <f ca="1"/>
        <v>28.097211999999999</v>
      </c>
      <c r="AG35" s="13">
        <f ca="1"/>
        <v>1966.80484</v>
      </c>
      <c r="AH35" s="13">
        <f ca="1"/>
        <v>3.94</v>
      </c>
      <c r="AI35">
        <f ca="1"/>
        <v>0</v>
      </c>
      <c r="AJ35" s="40">
        <f ca="1"/>
        <v>70</v>
      </c>
      <c r="AK35">
        <f ca="1"/>
        <v>0</v>
      </c>
      <c r="AL35">
        <f ca="1"/>
        <v>0</v>
      </c>
      <c r="AM35">
        <f ca="1"/>
        <v>0</v>
      </c>
      <c r="AN35" t="str">
        <f ca="1"/>
        <v>Short Term</v>
      </c>
    </row>
    <row r="36" spans="1:86" x14ac:dyDescent="0.25">
      <c r="AB36">
        <v>35</v>
      </c>
      <c r="AC36" t="str">
        <v>PYR</v>
      </c>
      <c r="AD36" s="1">
        <v>44245</v>
      </c>
      <c r="AE36" s="40">
        <f ca="1"/>
        <v>967</v>
      </c>
      <c r="AF36" s="13">
        <f ca="1"/>
        <v>1.0349999999999999</v>
      </c>
      <c r="AG36" s="13">
        <f ca="1"/>
        <v>1000.8449999999999</v>
      </c>
      <c r="AH36" s="13">
        <f ca="1"/>
        <v>10.01</v>
      </c>
      <c r="AI36">
        <f ca="1"/>
        <v>0</v>
      </c>
      <c r="AJ36" s="40">
        <f ca="1"/>
        <v>0</v>
      </c>
      <c r="AK36">
        <f ca="1"/>
        <v>967</v>
      </c>
      <c r="AL36">
        <f ca="1"/>
        <v>1000.8449999999999</v>
      </c>
      <c r="AM36">
        <f ca="1"/>
        <v>10.01</v>
      </c>
      <c r="AN36" t="str">
        <f ca="1"/>
        <v>Long Term</v>
      </c>
    </row>
    <row r="37" spans="1:86" x14ac:dyDescent="0.25">
      <c r="G37" t="s">
        <v>113</v>
      </c>
      <c r="H37" s="13">
        <f>SUM(_xlfn.ANCHORARRAY(D2),_xlfn.ANCHORARRAY(H2))</f>
        <v>123201.09397253738</v>
      </c>
      <c r="AB37">
        <v>36</v>
      </c>
      <c r="AC37" t="str">
        <v>RLT</v>
      </c>
      <c r="AD37" s="1">
        <v>44221</v>
      </c>
      <c r="AE37" s="40">
        <f ca="1"/>
        <v>836</v>
      </c>
      <c r="AF37" s="13">
        <f ca="1"/>
        <v>1.1950000000000001</v>
      </c>
      <c r="AG37" s="13">
        <f ca="1"/>
        <v>999.0200000000001</v>
      </c>
      <c r="AH37" s="13">
        <f ca="1"/>
        <v>10</v>
      </c>
      <c r="AI37">
        <f ca="1"/>
        <v>0</v>
      </c>
      <c r="AJ37" s="40">
        <f ca="1"/>
        <v>836</v>
      </c>
      <c r="AK37">
        <f ca="1"/>
        <v>0</v>
      </c>
      <c r="AL37">
        <f ca="1"/>
        <v>0</v>
      </c>
      <c r="AM37">
        <f ca="1"/>
        <v>0</v>
      </c>
      <c r="AN37" t="str">
        <f ca="1"/>
        <v>Short Term</v>
      </c>
    </row>
    <row r="38" spans="1:86" x14ac:dyDescent="0.25">
      <c r="G38" t="s">
        <v>115</v>
      </c>
      <c r="H38" s="13">
        <f ca="1">SUM(C2:C34,G2:G34)</f>
        <v>199228.62246926239</v>
      </c>
      <c r="AB38">
        <v>37</v>
      </c>
      <c r="AC38" t="str">
        <v>SHG</v>
      </c>
      <c r="AD38" s="1">
        <v>44244</v>
      </c>
      <c r="AE38" s="40">
        <f ca="1"/>
        <v>1851</v>
      </c>
      <c r="AF38" s="13">
        <f ca="1"/>
        <v>0.54</v>
      </c>
      <c r="AG38" s="13">
        <f ca="1"/>
        <v>999.54000000000008</v>
      </c>
      <c r="AH38" s="13">
        <f ca="1"/>
        <v>10</v>
      </c>
      <c r="AI38">
        <f ca="1"/>
        <v>0</v>
      </c>
      <c r="AJ38" s="40">
        <f ca="1"/>
        <v>0</v>
      </c>
      <c r="AK38">
        <f ca="1"/>
        <v>1851</v>
      </c>
      <c r="AL38">
        <f ca="1"/>
        <v>999.54000000000008</v>
      </c>
      <c r="AM38">
        <f ca="1"/>
        <v>10</v>
      </c>
      <c r="AN38" t="str">
        <f ca="1"/>
        <v>Long Term</v>
      </c>
    </row>
    <row r="39" spans="1:86" x14ac:dyDescent="0.25">
      <c r="AB39">
        <v>38</v>
      </c>
      <c r="AC39" t="str">
        <v>SYA</v>
      </c>
      <c r="AD39" s="1">
        <v>44243</v>
      </c>
      <c r="AE39" s="40">
        <f ca="1"/>
        <v>26315</v>
      </c>
      <c r="AF39" s="13">
        <f ca="1"/>
        <v>3.7999999999999999E-2</v>
      </c>
      <c r="AG39" s="13">
        <f ca="1"/>
        <v>999.97</v>
      </c>
      <c r="AH39" s="13">
        <f ca="1"/>
        <v>10</v>
      </c>
      <c r="AI39">
        <f ca="1"/>
        <v>0</v>
      </c>
      <c r="AJ39" s="40">
        <f ca="1"/>
        <v>0</v>
      </c>
      <c r="AK39">
        <f ca="1"/>
        <v>26315</v>
      </c>
      <c r="AL39">
        <f ca="1"/>
        <v>999.97</v>
      </c>
      <c r="AM39">
        <f ca="1"/>
        <v>10</v>
      </c>
      <c r="AN39" t="str">
        <f ca="1"/>
        <v>Long Term</v>
      </c>
    </row>
    <row r="40" spans="1:86" x14ac:dyDescent="0.25">
      <c r="AB40">
        <v>39</v>
      </c>
      <c r="AC40" t="str">
        <v>SYI</v>
      </c>
      <c r="AD40" s="1">
        <v>44242</v>
      </c>
      <c r="AE40" s="40">
        <f ca="1"/>
        <v>34</v>
      </c>
      <c r="AF40" s="13">
        <f ca="1"/>
        <v>28.69</v>
      </c>
      <c r="AG40" s="13">
        <f ca="1"/>
        <v>975.46</v>
      </c>
      <c r="AH40" s="13">
        <f ca="1"/>
        <v>10</v>
      </c>
      <c r="AI40">
        <f ca="1"/>
        <v>0</v>
      </c>
      <c r="AJ40" s="40">
        <f ca="1"/>
        <v>34</v>
      </c>
      <c r="AK40">
        <f ca="1"/>
        <v>0</v>
      </c>
      <c r="AL40">
        <f ca="1"/>
        <v>0</v>
      </c>
      <c r="AM40">
        <f ca="1"/>
        <v>0</v>
      </c>
      <c r="AN40" t="str">
        <f ca="1"/>
        <v>Short Term</v>
      </c>
    </row>
    <row r="41" spans="1:86" x14ac:dyDescent="0.25">
      <c r="AB41">
        <v>40</v>
      </c>
      <c r="AC41" t="str">
        <v>TNT</v>
      </c>
      <c r="AD41" s="1">
        <v>44161</v>
      </c>
      <c r="AE41" s="40">
        <f ca="1"/>
        <v>5128</v>
      </c>
      <c r="AF41" s="13">
        <f ca="1"/>
        <v>0.39</v>
      </c>
      <c r="AG41" s="13">
        <f ca="1"/>
        <v>1999.92</v>
      </c>
      <c r="AH41" s="13">
        <f ca="1"/>
        <v>19.95</v>
      </c>
      <c r="AI41">
        <f ca="1"/>
        <v>0</v>
      </c>
      <c r="AJ41" s="40">
        <f ca="1"/>
        <v>13236</v>
      </c>
      <c r="AK41">
        <f ca="1"/>
        <v>0</v>
      </c>
      <c r="AL41">
        <f ca="1"/>
        <v>0</v>
      </c>
      <c r="AM41">
        <f ca="1"/>
        <v>0</v>
      </c>
      <c r="AN41" t="str">
        <f ca="1"/>
        <v>Short Term</v>
      </c>
    </row>
    <row r="42" spans="1:86" x14ac:dyDescent="0.25">
      <c r="N42" s="151"/>
      <c r="AB42">
        <v>41</v>
      </c>
      <c r="AC42" t="str">
        <v>TNT</v>
      </c>
      <c r="AD42" s="1">
        <v>44221</v>
      </c>
      <c r="AE42" s="40">
        <f ca="1"/>
        <v>8108</v>
      </c>
      <c r="AF42" s="13">
        <f ca="1"/>
        <v>0.37</v>
      </c>
      <c r="AG42" s="13">
        <f ca="1"/>
        <v>2999.96</v>
      </c>
      <c r="AH42" s="13">
        <f ca="1"/>
        <v>19.95</v>
      </c>
      <c r="AI42">
        <f ca="1"/>
        <v>5128</v>
      </c>
      <c r="AJ42" s="40">
        <f ca="1"/>
        <v>13236</v>
      </c>
      <c r="AK42">
        <f ca="1"/>
        <v>0</v>
      </c>
      <c r="AL42">
        <f ca="1"/>
        <v>0</v>
      </c>
      <c r="AM42">
        <f ca="1"/>
        <v>0</v>
      </c>
      <c r="AN42" t="str">
        <f ca="1"/>
        <v>Short Term</v>
      </c>
    </row>
    <row r="43" spans="1:86" x14ac:dyDescent="0.25">
      <c r="N43" s="151"/>
      <c r="AB43">
        <v>42</v>
      </c>
      <c r="AC43" t="str">
        <v>VML</v>
      </c>
      <c r="AD43" s="1">
        <v>44243</v>
      </c>
      <c r="AE43" s="40">
        <f ca="1"/>
        <v>23809</v>
      </c>
      <c r="AF43" s="13">
        <f ca="1"/>
        <v>4.2000000000000003E-2</v>
      </c>
      <c r="AG43" s="13">
        <f ca="1"/>
        <v>999.97800000000007</v>
      </c>
      <c r="AH43" s="13">
        <f ca="1"/>
        <v>10.02</v>
      </c>
      <c r="AI43">
        <f ca="1"/>
        <v>0</v>
      </c>
      <c r="AJ43" s="40">
        <f ca="1"/>
        <v>23809</v>
      </c>
      <c r="AK43">
        <f ca="1"/>
        <v>0</v>
      </c>
      <c r="AL43">
        <f ca="1"/>
        <v>0</v>
      </c>
      <c r="AM43">
        <f ca="1"/>
        <v>0</v>
      </c>
      <c r="AN43" t="str">
        <f ca="1"/>
        <v>Short Term</v>
      </c>
    </row>
    <row r="44" spans="1:86" x14ac:dyDescent="0.25">
      <c r="N44" s="151"/>
    </row>
    <row r="45" spans="1:86" x14ac:dyDescent="0.25">
      <c r="N45" s="151"/>
    </row>
    <row r="46" spans="1:86" x14ac:dyDescent="0.25">
      <c r="N46" s="151"/>
    </row>
    <row r="47" spans="1:86" x14ac:dyDescent="0.25">
      <c r="N47" s="151"/>
    </row>
    <row r="48" spans="1:86" x14ac:dyDescent="0.25">
      <c r="N48" s="151"/>
    </row>
    <row r="49" spans="14:14" x14ac:dyDescent="0.25">
      <c r="N49" s="151"/>
    </row>
    <row r="50" spans="14:14" x14ac:dyDescent="0.25">
      <c r="N50" s="151"/>
    </row>
    <row r="51" spans="14:14" x14ac:dyDescent="0.25">
      <c r="N51" s="151"/>
    </row>
    <row r="52" spans="14:14" x14ac:dyDescent="0.25">
      <c r="N52" s="151"/>
    </row>
    <row r="53" spans="14:14" x14ac:dyDescent="0.25">
      <c r="N53" s="151"/>
    </row>
    <row r="54" spans="14:14" x14ac:dyDescent="0.25">
      <c r="N54" s="151"/>
    </row>
    <row r="55" spans="14:14" x14ac:dyDescent="0.25">
      <c r="N55" s="151"/>
    </row>
    <row r="56" spans="14:14" x14ac:dyDescent="0.25">
      <c r="N56" s="151"/>
    </row>
    <row r="57" spans="14:14" x14ac:dyDescent="0.25">
      <c r="N57" s="151"/>
    </row>
    <row r="58" spans="14:14" x14ac:dyDescent="0.25">
      <c r="N58" s="15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73787-69C5-4751-BE93-558EEFE1D7BB}">
  <dimension ref="A1"/>
  <sheetViews>
    <sheetView showGridLines="0" showRowColHeaders="0" topLeftCell="A4" zoomScale="85" zoomScaleNormal="85" workbookViewId="0">
      <selection activeCell="AC18" sqref="AC18"/>
    </sheetView>
  </sheetViews>
  <sheetFormatPr defaultRowHeight="15" x14ac:dyDescent="0.25"/>
  <cols>
    <col min="1" max="16384" width="9.140625" style="165"/>
  </cols>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7DB94-A7D6-4352-B9FE-63ABE4B46565}">
  <sheetPr codeName="Sheet6"/>
  <dimension ref="A1:E20"/>
  <sheetViews>
    <sheetView workbookViewId="0">
      <selection activeCell="C29" sqref="C29"/>
    </sheetView>
  </sheetViews>
  <sheetFormatPr defaultRowHeight="15" x14ac:dyDescent="0.25"/>
  <cols>
    <col min="2" max="2" width="12.7109375" bestFit="1" customWidth="1"/>
    <col min="3" max="3" width="16.42578125" bestFit="1" customWidth="1"/>
    <col min="4" max="4" width="15.140625" bestFit="1" customWidth="1"/>
    <col min="5" max="5" width="17" bestFit="1" customWidth="1"/>
  </cols>
  <sheetData>
    <row r="1" spans="1:5" x14ac:dyDescent="0.25">
      <c r="A1" s="159" t="s">
        <v>26</v>
      </c>
      <c r="B1" s="158" t="s">
        <v>138</v>
      </c>
      <c r="C1" s="158" t="s">
        <v>142</v>
      </c>
      <c r="D1" s="161" t="s">
        <v>143</v>
      </c>
      <c r="E1" s="162" t="s">
        <v>165</v>
      </c>
    </row>
    <row r="2" spans="1:5" ht="18.75" x14ac:dyDescent="0.3">
      <c r="A2" s="157" t="str" cm="1">
        <f t="array" aca="1" ref="A2:A13" ca="1">Calculations!BY3:BY14</f>
        <v>ADA</v>
      </c>
      <c r="B2" s="158" cm="1">
        <f t="array" aca="1" ref="B2:B13" ca="1">Calculations!BZ3:BZ14</f>
        <v>-7898.0725859999993</v>
      </c>
      <c r="C2" s="158" cm="1">
        <f t="array" aca="1" ref="C2:C13" ca="1">INDEX(Calculations!X2:X34,MATCH(_xlfn.ANCHORARRAY(A2),_xlfn.ANCHORARRAY(Calculations!A2),0))</f>
        <v>0.56999999999999995</v>
      </c>
      <c r="D2" s="161" cm="1">
        <f t="array" aca="1" ref="D2:D13" ca="1">INDEX(InputData[Transacted Price (per unit)],MATCH(_xlfn.ANCHORARRAY(A2),_xlfn.ANCHORARRAY(Calculations!A2),0))</f>
        <v>1.365</v>
      </c>
      <c r="E2" s="162"/>
    </row>
    <row r="3" spans="1:5" ht="18.75" x14ac:dyDescent="0.3">
      <c r="A3" s="157" t="str">
        <f ca="1"/>
        <v>ANW</v>
      </c>
      <c r="B3" s="158">
        <f ca="1"/>
        <v>-89.8</v>
      </c>
      <c r="C3" s="158">
        <f ca="1"/>
        <v>4.8000000000000001E-2</v>
      </c>
      <c r="D3" s="161">
        <f ca="1"/>
        <v>1E-3</v>
      </c>
      <c r="E3" s="162"/>
    </row>
    <row r="4" spans="1:5" ht="18.75" x14ac:dyDescent="0.3">
      <c r="A4" s="157" t="str">
        <f ca="1"/>
        <v>AXS</v>
      </c>
      <c r="B4" s="158">
        <f ca="1"/>
        <v>-59756.884652169836</v>
      </c>
      <c r="C4" s="158">
        <f ca="1"/>
        <v>62.77</v>
      </c>
      <c r="D4" s="161">
        <f ca="1"/>
        <v>1E-3</v>
      </c>
      <c r="E4" s="162"/>
    </row>
    <row r="5" spans="1:5" ht="18.75" x14ac:dyDescent="0.3">
      <c r="A5" s="157" t="str">
        <f ca="1"/>
        <v>BNB</v>
      </c>
      <c r="B5" s="158">
        <f ca="1"/>
        <v>-7598.0790121734844</v>
      </c>
      <c r="C5" s="158">
        <f ca="1"/>
        <v>454.78</v>
      </c>
      <c r="D5" s="161">
        <f ca="1"/>
        <v>1E-3</v>
      </c>
      <c r="E5" s="162"/>
    </row>
    <row r="6" spans="1:5" ht="18.75" x14ac:dyDescent="0.3">
      <c r="A6" s="157" t="str">
        <f ca="1"/>
        <v>BUB</v>
      </c>
      <c r="B6" s="158">
        <f ca="1"/>
        <v>-3118.4308270086422</v>
      </c>
      <c r="C6" s="158">
        <f ca="1"/>
        <v>0.28000000000000003</v>
      </c>
      <c r="D6" s="161">
        <f ca="1"/>
        <v>1E-3</v>
      </c>
      <c r="E6" s="162"/>
    </row>
    <row r="7" spans="1:5" ht="18.75" x14ac:dyDescent="0.3">
      <c r="A7" s="157" t="str">
        <f ca="1"/>
        <v>CBA</v>
      </c>
      <c r="B7" s="158">
        <f ca="1"/>
        <v>-60.699999999999953</v>
      </c>
      <c r="C7" s="158">
        <f ca="1"/>
        <v>101.52</v>
      </c>
      <c r="D7" s="161">
        <f ca="1"/>
        <v>0.34499999999999997</v>
      </c>
      <c r="E7" s="162"/>
    </row>
    <row r="8" spans="1:5" ht="18.75" x14ac:dyDescent="0.3">
      <c r="A8" s="157" t="str">
        <f ca="1"/>
        <v>DOGE</v>
      </c>
      <c r="B8" s="158">
        <f ca="1"/>
        <v>-51.18604244241093</v>
      </c>
      <c r="C8" s="158">
        <f ca="1"/>
        <v>0.13</v>
      </c>
      <c r="D8" s="161">
        <f ca="1"/>
        <v>0.46500000000000002</v>
      </c>
      <c r="E8" s="162"/>
    </row>
    <row r="9" spans="1:5" ht="18.75" x14ac:dyDescent="0.3">
      <c r="A9" s="157" t="str">
        <f ca="1"/>
        <v>FFF</v>
      </c>
      <c r="B9" s="158">
        <f ca="1"/>
        <v>-2271.0249999999996</v>
      </c>
      <c r="C9" s="158">
        <f ca="1"/>
        <v>2.3E-2</v>
      </c>
      <c r="D9" s="161">
        <f ca="1"/>
        <v>0.59499999999999997</v>
      </c>
      <c r="E9" s="162"/>
    </row>
    <row r="10" spans="1:5" ht="18.75" x14ac:dyDescent="0.3">
      <c r="A10" s="157" t="str">
        <f ca="1"/>
        <v>MANA</v>
      </c>
      <c r="B10" s="158">
        <f ca="1"/>
        <v>-1097.2427075328167</v>
      </c>
      <c r="C10" s="158">
        <f ca="1"/>
        <v>1.07</v>
      </c>
      <c r="D10" s="161">
        <f ca="1"/>
        <v>0.73</v>
      </c>
      <c r="E10" s="162"/>
    </row>
    <row r="11" spans="1:5" ht="18.75" x14ac:dyDescent="0.3">
      <c r="A11" s="157" t="str">
        <f ca="1"/>
        <v>SYI</v>
      </c>
      <c r="B11" s="158">
        <f ca="1"/>
        <v>-4.7000000000000455</v>
      </c>
      <c r="C11" s="158">
        <f ca="1"/>
        <v>28.41</v>
      </c>
      <c r="D11" s="161">
        <f ca="1"/>
        <v>1.4E-2</v>
      </c>
      <c r="E11" s="162"/>
    </row>
    <row r="12" spans="1:5" ht="18.75" x14ac:dyDescent="0.3">
      <c r="A12" s="157" t="str">
        <f ca="1"/>
        <v>TNT</v>
      </c>
      <c r="B12" s="158">
        <f ca="1"/>
        <v>-2412.5299999999997</v>
      </c>
      <c r="C12" s="158">
        <f ca="1"/>
        <v>8.6999999999999994E-2</v>
      </c>
      <c r="D12" s="161">
        <f ca="1"/>
        <v>1.7000000000000001E-2</v>
      </c>
      <c r="E12" s="162"/>
    </row>
    <row r="13" spans="1:5" ht="18.75" x14ac:dyDescent="0.3">
      <c r="A13" s="157" t="str">
        <f ca="1"/>
        <v>XRP</v>
      </c>
      <c r="B13" s="159">
        <f ca="1"/>
        <v>-3358.5136614684338</v>
      </c>
      <c r="C13" s="158">
        <f ca="1"/>
        <v>0.56999999999999995</v>
      </c>
      <c r="D13" s="161">
        <f ca="1"/>
        <v>0.02</v>
      </c>
      <c r="E13" s="162"/>
    </row>
    <row r="14" spans="1:5" ht="18.75" x14ac:dyDescent="0.3">
      <c r="A14" s="157"/>
      <c r="B14" s="159"/>
      <c r="C14" s="158"/>
      <c r="D14" s="161"/>
      <c r="E14" s="162"/>
    </row>
    <row r="15" spans="1:5" ht="18.75" x14ac:dyDescent="0.3">
      <c r="A15" s="157"/>
      <c r="B15" s="159"/>
      <c r="C15" s="158"/>
      <c r="D15" s="161"/>
      <c r="E15" s="162"/>
    </row>
    <row r="16" spans="1:5" ht="18.75" x14ac:dyDescent="0.3">
      <c r="A16" s="157"/>
      <c r="B16" s="159"/>
      <c r="C16" s="158"/>
      <c r="D16" s="161"/>
      <c r="E16" s="162"/>
    </row>
    <row r="17" spans="1:5" x14ac:dyDescent="0.25">
      <c r="A17" s="159" t="s">
        <v>139</v>
      </c>
      <c r="B17" s="158">
        <f ca="1">SUM(B2:B16)</f>
        <v>-87717.164488795621</v>
      </c>
      <c r="C17" s="158">
        <f t="shared" ref="C17:D17" ca="1" si="0">SUM(C2:C16)</f>
        <v>650.25800000000004</v>
      </c>
      <c r="D17" s="160">
        <f t="shared" ca="1" si="0"/>
        <v>3.5549999999999988</v>
      </c>
      <c r="E17" s="162"/>
    </row>
    <row r="18" spans="1:5" x14ac:dyDescent="0.25">
      <c r="A18" s="162"/>
      <c r="B18" s="162"/>
      <c r="C18" s="162"/>
      <c r="D18" s="162"/>
      <c r="E18" s="162"/>
    </row>
    <row r="19" spans="1:5" x14ac:dyDescent="0.25">
      <c r="A19" s="162"/>
      <c r="B19" s="162"/>
      <c r="C19" s="162"/>
      <c r="D19" s="162"/>
      <c r="E19" s="162"/>
    </row>
    <row r="20" spans="1:5" x14ac:dyDescent="0.25">
      <c r="A20" s="162"/>
      <c r="B20" s="162"/>
      <c r="C20" s="162"/>
      <c r="D20" s="162"/>
      <c r="E20" s="162"/>
    </row>
  </sheetData>
  <conditionalFormatting sqref="A14:B17 A1:C1 A2:B12 C2:C16 C17:D17">
    <cfRule type="expression" dxfId="1" priority="2">
      <formula>A1&lt;0</formula>
    </cfRule>
  </conditionalFormatting>
  <conditionalFormatting sqref="A13:B13">
    <cfRule type="expression" dxfId="0" priority="1">
      <formula>A13&lt;0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136F7-38F4-4E00-8F31-E8C1F839B898}">
  <sheetPr codeName="Sheet7"/>
  <dimension ref="A1:AE48"/>
  <sheetViews>
    <sheetView workbookViewId="0">
      <selection activeCell="H33" sqref="H33"/>
    </sheetView>
  </sheetViews>
  <sheetFormatPr defaultRowHeight="15" x14ac:dyDescent="0.25"/>
  <cols>
    <col min="1" max="1" width="13.140625" bestFit="1" customWidth="1"/>
    <col min="2" max="2" width="18.85546875" style="40" bestFit="1" customWidth="1"/>
    <col min="3" max="3" width="13.42578125" style="40" bestFit="1" customWidth="1"/>
    <col min="4" max="4" width="10.7109375" style="40" bestFit="1" customWidth="1"/>
    <col min="5" max="5" width="16.42578125" style="40" bestFit="1" customWidth="1"/>
    <col min="6" max="6" width="7.42578125" style="40" bestFit="1" customWidth="1"/>
    <col min="7" max="7" width="20.28515625" style="40" bestFit="1" customWidth="1"/>
    <col min="8" max="8" width="10.7109375" style="40" bestFit="1" customWidth="1"/>
    <col min="9" max="9" width="16.42578125" style="40" bestFit="1" customWidth="1"/>
    <col min="10" max="10" width="7.28515625" style="40" bestFit="1" customWidth="1"/>
    <col min="11" max="11" width="12.7109375" style="40" bestFit="1" customWidth="1"/>
    <col min="12" max="12" width="10.7109375" style="40" bestFit="1" customWidth="1"/>
    <col min="13" max="13" width="7.42578125" style="40" bestFit="1" customWidth="1"/>
    <col min="14" max="14" width="12.7109375" bestFit="1" customWidth="1"/>
    <col min="15" max="15" width="12.7109375" style="40" bestFit="1" customWidth="1"/>
    <col min="16" max="16" width="20.28515625" style="13" bestFit="1" customWidth="1"/>
    <col min="17" max="17" width="16.28515625" bestFit="1" customWidth="1"/>
    <col min="18" max="18" width="11.28515625" bestFit="1" customWidth="1"/>
    <col min="19" max="19" width="10.7109375" bestFit="1" customWidth="1"/>
    <col min="20" max="20" width="9.7109375" style="40" bestFit="1" customWidth="1"/>
    <col min="21" max="24" width="10.7109375" bestFit="1" customWidth="1"/>
    <col min="25" max="25" width="11.28515625" bestFit="1" customWidth="1"/>
    <col min="26" max="29" width="10.7109375" bestFit="1" customWidth="1"/>
    <col min="30" max="30" width="11.28515625" bestFit="1" customWidth="1"/>
    <col min="31" max="31" width="10.7109375" bestFit="1" customWidth="1"/>
    <col min="32" max="32" width="9.7109375" bestFit="1" customWidth="1"/>
    <col min="33" max="37" width="10.7109375" bestFit="1" customWidth="1"/>
    <col min="38" max="40" width="9.7109375" bestFit="1" customWidth="1"/>
    <col min="41" max="41" width="10.7109375" bestFit="1" customWidth="1"/>
    <col min="42" max="44" width="9.7109375" bestFit="1" customWidth="1"/>
    <col min="45" max="55" width="10.7109375" bestFit="1" customWidth="1"/>
    <col min="56" max="56" width="11.28515625" bestFit="1" customWidth="1"/>
  </cols>
  <sheetData>
    <row r="1" spans="1:20" x14ac:dyDescent="0.25">
      <c r="A1" s="96" t="s">
        <v>69</v>
      </c>
      <c r="B1" t="s">
        <v>152</v>
      </c>
    </row>
    <row r="3" spans="1:20" x14ac:dyDescent="0.25">
      <c r="A3" s="93" t="s">
        <v>122</v>
      </c>
      <c r="B3" t="s">
        <v>126</v>
      </c>
      <c r="C3" s="40" t="s">
        <v>127</v>
      </c>
      <c r="D3"/>
      <c r="E3"/>
      <c r="F3"/>
      <c r="G3"/>
      <c r="H3"/>
      <c r="I3"/>
      <c r="J3"/>
      <c r="K3"/>
      <c r="L3"/>
      <c r="M3"/>
      <c r="P3"/>
      <c r="T3"/>
    </row>
    <row r="4" spans="1:20" x14ac:dyDescent="0.25">
      <c r="A4" s="95" t="s">
        <v>6</v>
      </c>
      <c r="B4" s="40">
        <v>3846</v>
      </c>
      <c r="C4" s="40">
        <v>0</v>
      </c>
      <c r="D4"/>
      <c r="E4"/>
      <c r="F4"/>
      <c r="G4"/>
      <c r="H4"/>
      <c r="I4"/>
      <c r="J4"/>
      <c r="K4"/>
      <c r="L4"/>
      <c r="M4"/>
      <c r="O4"/>
      <c r="P4"/>
      <c r="T4"/>
    </row>
    <row r="5" spans="1:20" x14ac:dyDescent="0.25">
      <c r="A5" s="95" t="s">
        <v>7</v>
      </c>
      <c r="B5" s="40">
        <v>769</v>
      </c>
      <c r="C5" s="40">
        <v>769</v>
      </c>
      <c r="D5"/>
      <c r="E5"/>
      <c r="F5"/>
      <c r="G5"/>
      <c r="H5"/>
      <c r="I5"/>
      <c r="J5"/>
      <c r="K5" s="13"/>
      <c r="L5"/>
      <c r="M5"/>
      <c r="P5"/>
      <c r="T5"/>
    </row>
    <row r="6" spans="1:20" x14ac:dyDescent="0.25">
      <c r="A6" s="95" t="s">
        <v>24</v>
      </c>
      <c r="B6" s="40">
        <v>1500000</v>
      </c>
      <c r="C6" s="40">
        <v>1000000</v>
      </c>
      <c r="D6"/>
      <c r="E6"/>
      <c r="F6" s="93" t="s">
        <v>0</v>
      </c>
      <c r="G6" s="13" t="s">
        <v>124</v>
      </c>
      <c r="H6"/>
      <c r="I6"/>
      <c r="J6" s="93" t="s">
        <v>125</v>
      </c>
      <c r="K6" s="13" t="s">
        <v>123</v>
      </c>
      <c r="L6"/>
      <c r="M6" s="93" t="s">
        <v>0</v>
      </c>
      <c r="N6" s="13" t="s">
        <v>123</v>
      </c>
      <c r="O6"/>
      <c r="P6"/>
      <c r="T6"/>
    </row>
    <row r="7" spans="1:20" x14ac:dyDescent="0.25">
      <c r="A7" s="95" t="s">
        <v>8</v>
      </c>
      <c r="B7" s="40">
        <v>10000000</v>
      </c>
      <c r="C7" s="40">
        <v>20000000</v>
      </c>
      <c r="D7"/>
      <c r="E7"/>
      <c r="F7" s="94" t="s">
        <v>134</v>
      </c>
      <c r="G7" s="13">
        <v>4999.91</v>
      </c>
      <c r="H7"/>
      <c r="I7"/>
      <c r="J7" s="94" t="s">
        <v>134</v>
      </c>
      <c r="K7" s="13">
        <v>10798.05</v>
      </c>
      <c r="L7"/>
      <c r="M7" s="95" t="s">
        <v>161</v>
      </c>
      <c r="N7" s="13">
        <v>1970.8</v>
      </c>
      <c r="O7"/>
      <c r="P7"/>
      <c r="T7"/>
    </row>
    <row r="8" spans="1:20" x14ac:dyDescent="0.25">
      <c r="A8" s="95" t="s">
        <v>9</v>
      </c>
      <c r="B8" s="40">
        <v>47149</v>
      </c>
      <c r="C8" s="40">
        <v>121524</v>
      </c>
      <c r="D8"/>
      <c r="E8"/>
      <c r="F8" s="94" t="s">
        <v>148</v>
      </c>
      <c r="G8" s="13">
        <v>7074.8980000000001</v>
      </c>
      <c r="H8"/>
      <c r="I8"/>
      <c r="J8" s="94" t="s">
        <v>148</v>
      </c>
      <c r="K8" s="13">
        <v>11022.795999999998</v>
      </c>
      <c r="L8"/>
      <c r="M8" s="95" t="s">
        <v>162</v>
      </c>
      <c r="N8" s="13">
        <v>7308.8929999999991</v>
      </c>
      <c r="O8"/>
      <c r="P8"/>
      <c r="T8"/>
    </row>
    <row r="9" spans="1:20" x14ac:dyDescent="0.25">
      <c r="A9" s="95" t="s">
        <v>10</v>
      </c>
      <c r="B9" s="40">
        <v>589547</v>
      </c>
      <c r="C9" s="40">
        <v>1605272</v>
      </c>
      <c r="D9"/>
      <c r="E9"/>
      <c r="F9" s="94" t="s">
        <v>149</v>
      </c>
      <c r="G9" s="13">
        <v>4610</v>
      </c>
      <c r="H9"/>
      <c r="I9"/>
      <c r="J9" s="94" t="s">
        <v>149</v>
      </c>
      <c r="K9" s="13">
        <v>6079.7739999999994</v>
      </c>
      <c r="L9"/>
      <c r="M9" s="95" t="s">
        <v>160</v>
      </c>
      <c r="N9" s="13">
        <v>48749.773840000002</v>
      </c>
      <c r="O9"/>
      <c r="P9"/>
      <c r="T9"/>
    </row>
    <row r="10" spans="1:20" x14ac:dyDescent="0.25">
      <c r="A10" s="95" t="s">
        <v>25</v>
      </c>
      <c r="B10" s="40">
        <v>26</v>
      </c>
      <c r="C10" s="40">
        <v>26</v>
      </c>
      <c r="D10"/>
      <c r="E10"/>
      <c r="F10" s="94" t="s">
        <v>150</v>
      </c>
      <c r="G10" s="13">
        <v>999.75</v>
      </c>
      <c r="H10"/>
      <c r="I10"/>
      <c r="J10" s="94" t="s">
        <v>150</v>
      </c>
      <c r="K10" s="13">
        <v>2967.75</v>
      </c>
      <c r="L10"/>
      <c r="M10" s="95" t="s">
        <v>163</v>
      </c>
      <c r="N10" s="13">
        <v>24064.928</v>
      </c>
      <c r="O10"/>
      <c r="P10"/>
      <c r="T10"/>
    </row>
    <row r="11" spans="1:20" x14ac:dyDescent="0.25">
      <c r="A11" s="95" t="s">
        <v>11</v>
      </c>
      <c r="B11" s="40">
        <v>5000000</v>
      </c>
      <c r="C11" s="40">
        <v>5000000</v>
      </c>
      <c r="D11"/>
      <c r="E11"/>
      <c r="F11" s="94" t="s">
        <v>153</v>
      </c>
      <c r="G11" s="13">
        <v>956.34</v>
      </c>
      <c r="H11"/>
      <c r="I11"/>
      <c r="J11" s="94" t="s">
        <v>153</v>
      </c>
      <c r="K11" s="13">
        <v>956.34</v>
      </c>
      <c r="L11"/>
      <c r="M11" s="95" t="s">
        <v>164</v>
      </c>
      <c r="N11" s="13">
        <v>1999.9979999999998</v>
      </c>
      <c r="O11"/>
      <c r="P11"/>
      <c r="T11"/>
    </row>
    <row r="12" spans="1:20" x14ac:dyDescent="0.25">
      <c r="A12" s="95" t="s">
        <v>12</v>
      </c>
      <c r="B12" s="40">
        <v>671</v>
      </c>
      <c r="C12" s="40">
        <v>0</v>
      </c>
      <c r="D12"/>
      <c r="E12"/>
      <c r="F12" s="94" t="s">
        <v>151</v>
      </c>
      <c r="G12" s="13">
        <v>0</v>
      </c>
      <c r="H12"/>
      <c r="I12"/>
      <c r="J12" s="94" t="s">
        <v>151</v>
      </c>
      <c r="K12" s="13">
        <v>489.96</v>
      </c>
      <c r="L12"/>
      <c r="M12"/>
      <c r="O12"/>
      <c r="P12"/>
      <c r="T12"/>
    </row>
    <row r="13" spans="1:20" x14ac:dyDescent="0.25">
      <c r="A13" s="95" t="s">
        <v>13</v>
      </c>
      <c r="B13" s="40">
        <v>12334</v>
      </c>
      <c r="C13" s="40">
        <v>24668</v>
      </c>
      <c r="D13"/>
      <c r="E13"/>
      <c r="F13" s="94" t="s">
        <v>154</v>
      </c>
      <c r="G13" s="13">
        <v>0</v>
      </c>
      <c r="H13"/>
      <c r="I13"/>
      <c r="J13" s="94" t="s">
        <v>154</v>
      </c>
      <c r="K13" s="13">
        <v>1000</v>
      </c>
      <c r="L13"/>
      <c r="M13"/>
      <c r="O13"/>
      <c r="P13"/>
      <c r="T13"/>
    </row>
    <row r="14" spans="1:20" x14ac:dyDescent="0.25">
      <c r="A14" s="95" t="s">
        <v>14</v>
      </c>
      <c r="B14" s="40">
        <v>1000000</v>
      </c>
      <c r="C14" s="40">
        <v>1000000</v>
      </c>
      <c r="D14"/>
      <c r="E14"/>
      <c r="F14" s="94" t="s">
        <v>155</v>
      </c>
      <c r="G14" s="13">
        <v>1999.78</v>
      </c>
      <c r="H14"/>
      <c r="I14"/>
      <c r="J14" s="94" t="s">
        <v>155</v>
      </c>
      <c r="K14" s="13">
        <v>4999.28</v>
      </c>
      <c r="L14"/>
      <c r="M14"/>
      <c r="O14"/>
      <c r="P14"/>
      <c r="T14"/>
    </row>
    <row r="15" spans="1:20" x14ac:dyDescent="0.25">
      <c r="A15" s="95" t="s">
        <v>15</v>
      </c>
      <c r="B15" s="40">
        <v>4000</v>
      </c>
      <c r="C15" s="40">
        <v>4000</v>
      </c>
      <c r="D15"/>
      <c r="E15"/>
      <c r="F15" s="94" t="s">
        <v>156</v>
      </c>
      <c r="G15" s="13">
        <v>4540.4800000000005</v>
      </c>
      <c r="H15"/>
      <c r="I15"/>
      <c r="J15" s="94" t="s">
        <v>156</v>
      </c>
      <c r="K15" s="13">
        <v>24559.701000000001</v>
      </c>
      <c r="L15"/>
      <c r="M15"/>
      <c r="O15"/>
      <c r="P15"/>
      <c r="T15"/>
    </row>
    <row r="16" spans="1:20" x14ac:dyDescent="0.25">
      <c r="A16" s="95" t="s">
        <v>16</v>
      </c>
      <c r="B16" s="40">
        <v>70</v>
      </c>
      <c r="C16" s="40">
        <v>70</v>
      </c>
      <c r="D16"/>
      <c r="E16"/>
      <c r="F16" s="94" t="s">
        <v>157</v>
      </c>
      <c r="G16" s="13">
        <v>4999.5999999999995</v>
      </c>
      <c r="H16"/>
      <c r="I16"/>
      <c r="J16" s="94" t="s">
        <v>157</v>
      </c>
      <c r="K16" s="13">
        <v>13260.537</v>
      </c>
      <c r="L16"/>
      <c r="M16"/>
      <c r="O16"/>
      <c r="P16"/>
      <c r="T16"/>
    </row>
    <row r="17" spans="1:31" x14ac:dyDescent="0.25">
      <c r="A17" s="95" t="s">
        <v>17</v>
      </c>
      <c r="B17" s="40">
        <v>967</v>
      </c>
      <c r="C17" s="40">
        <v>0</v>
      </c>
      <c r="D17"/>
      <c r="E17"/>
      <c r="F17" s="94" t="s">
        <v>158</v>
      </c>
      <c r="G17" s="13">
        <v>3993.4800000000005</v>
      </c>
      <c r="H17"/>
      <c r="I17"/>
      <c r="J17" s="94" t="s">
        <v>158</v>
      </c>
      <c r="K17" s="13">
        <v>5993.4000000000005</v>
      </c>
      <c r="L17"/>
      <c r="M17"/>
      <c r="O17"/>
      <c r="P17"/>
      <c r="T17"/>
    </row>
    <row r="18" spans="1:31" x14ac:dyDescent="0.25">
      <c r="A18" s="95" t="s">
        <v>18</v>
      </c>
      <c r="B18" s="40">
        <v>836</v>
      </c>
      <c r="C18" s="40">
        <v>836</v>
      </c>
      <c r="D18"/>
      <c r="E18"/>
      <c r="F18" s="94" t="s">
        <v>159</v>
      </c>
      <c r="G18" s="13">
        <v>0</v>
      </c>
      <c r="H18"/>
      <c r="I18"/>
      <c r="J18" s="94" t="s">
        <v>159</v>
      </c>
      <c r="K18" s="13">
        <v>1966.80484</v>
      </c>
      <c r="L18"/>
      <c r="M18"/>
      <c r="O18"/>
      <c r="P18"/>
      <c r="T18"/>
    </row>
    <row r="19" spans="1:31" x14ac:dyDescent="0.25">
      <c r="A19" s="95" t="s">
        <v>19</v>
      </c>
      <c r="B19" s="40">
        <v>1851</v>
      </c>
      <c r="C19" s="40">
        <v>0</v>
      </c>
      <c r="D19"/>
      <c r="E19"/>
      <c r="F19"/>
      <c r="G19"/>
      <c r="H19"/>
      <c r="I19"/>
      <c r="J19"/>
      <c r="K19"/>
      <c r="L19"/>
      <c r="M19"/>
      <c r="O19"/>
      <c r="P19"/>
      <c r="T19"/>
      <c r="AE19" s="13"/>
    </row>
    <row r="20" spans="1:31" x14ac:dyDescent="0.25">
      <c r="A20" s="95" t="s">
        <v>20</v>
      </c>
      <c r="B20" s="40">
        <v>26315</v>
      </c>
      <c r="C20" s="40">
        <v>0</v>
      </c>
      <c r="D20"/>
      <c r="E20"/>
      <c r="F20"/>
      <c r="G20"/>
      <c r="H20"/>
      <c r="I20"/>
      <c r="J20"/>
      <c r="K20"/>
      <c r="L20"/>
      <c r="M20"/>
      <c r="O20"/>
      <c r="P20"/>
      <c r="T20"/>
      <c r="AE20" s="13"/>
    </row>
    <row r="21" spans="1:31" x14ac:dyDescent="0.25">
      <c r="A21" s="95" t="s">
        <v>21</v>
      </c>
      <c r="B21" s="40">
        <v>34</v>
      </c>
      <c r="C21" s="40">
        <v>34</v>
      </c>
      <c r="D21"/>
      <c r="E21"/>
      <c r="F21"/>
      <c r="G21"/>
      <c r="H21"/>
      <c r="I21"/>
      <c r="J21"/>
      <c r="K21"/>
      <c r="L21"/>
      <c r="M21"/>
      <c r="O21"/>
      <c r="P21"/>
      <c r="T21"/>
    </row>
    <row r="22" spans="1:31" x14ac:dyDescent="0.25">
      <c r="A22" s="95" t="s">
        <v>22</v>
      </c>
      <c r="B22" s="40">
        <v>13236</v>
      </c>
      <c r="C22" s="40">
        <v>26472</v>
      </c>
      <c r="D22"/>
      <c r="E22"/>
      <c r="F22"/>
      <c r="G22"/>
      <c r="H22"/>
      <c r="I22"/>
      <c r="J22"/>
      <c r="K22"/>
      <c r="L22"/>
      <c r="M22"/>
      <c r="O22"/>
      <c r="P22"/>
      <c r="T22"/>
    </row>
    <row r="23" spans="1:31" x14ac:dyDescent="0.25">
      <c r="A23" s="95" t="s">
        <v>23</v>
      </c>
      <c r="B23" s="40">
        <v>23809</v>
      </c>
      <c r="C23" s="40">
        <v>23809</v>
      </c>
      <c r="D23"/>
      <c r="E23"/>
      <c r="F23"/>
      <c r="G23"/>
      <c r="H23"/>
      <c r="I23"/>
      <c r="J23"/>
      <c r="K23"/>
      <c r="L23"/>
      <c r="M23"/>
      <c r="O23"/>
      <c r="P23"/>
      <c r="T23"/>
    </row>
    <row r="24" spans="1:31" x14ac:dyDescent="0.25">
      <c r="B24"/>
      <c r="C24"/>
      <c r="D24"/>
      <c r="E24"/>
      <c r="F24"/>
      <c r="G24"/>
      <c r="H24"/>
      <c r="I24"/>
      <c r="J24"/>
      <c r="K24"/>
      <c r="L24"/>
      <c r="M24"/>
      <c r="O24"/>
      <c r="P24"/>
      <c r="T24"/>
    </row>
    <row r="25" spans="1:31" x14ac:dyDescent="0.25">
      <c r="B25"/>
      <c r="C25"/>
      <c r="D25"/>
      <c r="E25"/>
      <c r="F25"/>
      <c r="G25"/>
      <c r="H25"/>
      <c r="I25"/>
      <c r="J25"/>
      <c r="K25"/>
      <c r="L25"/>
      <c r="M25"/>
      <c r="O25"/>
      <c r="P25"/>
      <c r="T25"/>
    </row>
    <row r="26" spans="1:31" x14ac:dyDescent="0.25">
      <c r="M26"/>
      <c r="O26"/>
      <c r="P26"/>
    </row>
    <row r="27" spans="1:31" x14ac:dyDescent="0.25">
      <c r="M27"/>
      <c r="O27"/>
      <c r="P27"/>
    </row>
    <row r="28" spans="1:31" x14ac:dyDescent="0.25">
      <c r="M28"/>
      <c r="O28"/>
      <c r="P28"/>
    </row>
    <row r="29" spans="1:31" x14ac:dyDescent="0.25">
      <c r="M29"/>
      <c r="O29"/>
      <c r="P29"/>
    </row>
    <row r="30" spans="1:31" x14ac:dyDescent="0.25">
      <c r="M30"/>
      <c r="O30"/>
      <c r="P30"/>
    </row>
    <row r="31" spans="1:31" x14ac:dyDescent="0.25">
      <c r="O31"/>
      <c r="P31"/>
    </row>
    <row r="32" spans="1:31" x14ac:dyDescent="0.25">
      <c r="O32"/>
      <c r="P32"/>
    </row>
    <row r="33" spans="15:16" x14ac:dyDescent="0.25">
      <c r="O33"/>
      <c r="P33"/>
    </row>
    <row r="34" spans="15:16" x14ac:dyDescent="0.25">
      <c r="O34"/>
      <c r="P34"/>
    </row>
    <row r="35" spans="15:16" x14ac:dyDescent="0.25">
      <c r="O35"/>
      <c r="P35"/>
    </row>
    <row r="36" spans="15:16" x14ac:dyDescent="0.25">
      <c r="O36"/>
      <c r="P36"/>
    </row>
    <row r="37" spans="15:16" x14ac:dyDescent="0.25">
      <c r="O37"/>
      <c r="P37"/>
    </row>
    <row r="38" spans="15:16" x14ac:dyDescent="0.25">
      <c r="O38"/>
      <c r="P38"/>
    </row>
    <row r="39" spans="15:16" x14ac:dyDescent="0.25">
      <c r="O39"/>
      <c r="P39"/>
    </row>
    <row r="40" spans="15:16" x14ac:dyDescent="0.25">
      <c r="O40"/>
      <c r="P40"/>
    </row>
    <row r="41" spans="15:16" x14ac:dyDescent="0.25">
      <c r="O41"/>
      <c r="P41"/>
    </row>
    <row r="42" spans="15:16" x14ac:dyDescent="0.25">
      <c r="O42"/>
      <c r="P42"/>
    </row>
    <row r="43" spans="15:16" x14ac:dyDescent="0.25">
      <c r="O43"/>
      <c r="P43"/>
    </row>
    <row r="44" spans="15:16" x14ac:dyDescent="0.25">
      <c r="O44"/>
      <c r="P44"/>
    </row>
    <row r="45" spans="15:16" x14ac:dyDescent="0.25">
      <c r="O45"/>
      <c r="P45"/>
    </row>
    <row r="46" spans="15:16" x14ac:dyDescent="0.25">
      <c r="O46"/>
      <c r="P46"/>
    </row>
    <row r="47" spans="15:16" x14ac:dyDescent="0.25">
      <c r="O47"/>
    </row>
    <row r="48" spans="15:16" x14ac:dyDescent="0.25">
      <c r="O4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Dashboard</vt:lpstr>
      <vt:lpstr>Current Holdings</vt:lpstr>
      <vt:lpstr>Dashboard By Date</vt:lpstr>
      <vt:lpstr>Transactions</vt:lpstr>
      <vt:lpstr>Calculations</vt:lpstr>
      <vt:lpstr>test dashboard</vt:lpstr>
      <vt:lpstr>calculations for DCA</vt:lpstr>
      <vt:lpstr>Pivots for dashboard2</vt:lpstr>
      <vt:lpstr>uniq_stock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sushil dhakal</dc:creator>
  <cp:lastModifiedBy>sushil dhakal</cp:lastModifiedBy>
  <dcterms:created xsi:type="dcterms:W3CDTF">2015-06-05T18:17:20Z</dcterms:created>
  <dcterms:modified xsi:type="dcterms:W3CDTF">2023-03-01T07:54:45Z</dcterms:modified>
</cp:coreProperties>
</file>